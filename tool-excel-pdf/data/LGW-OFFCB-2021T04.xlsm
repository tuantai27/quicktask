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neDrive\HA HUYNH\HHG-Helen\03-LGW-LGL-LOGIWORLD\LGW-01-EXPENSE REPORT\LGW-EXPENSE REPORT-2021\LGW-OFF RP CB 2021\"/>
    </mc:Choice>
  </mc:AlternateContent>
  <bookViews>
    <workbookView xWindow="0" yWindow="0" windowWidth="22116" windowHeight="9780" tabRatio="417" activeTab="1"/>
  </bookViews>
  <sheets>
    <sheet name="Receipt" sheetId="16" r:id="rId1"/>
    <sheet name="APR" sheetId="166" r:id="rId2"/>
    <sheet name="MAR" sheetId="165" r:id="rId3"/>
    <sheet name="FEB" sheetId="164" r:id="rId4"/>
    <sheet name="JAN" sheetId="163" r:id="rId5"/>
    <sheet name="DEC" sheetId="160" r:id="rId6"/>
    <sheet name="NOV" sheetId="162" r:id="rId7"/>
    <sheet name="Leave" sheetId="30" r:id="rId8"/>
    <sheet name="19T04" sheetId="142" r:id="rId9"/>
    <sheet name="Assu" sheetId="157" r:id="rId10"/>
  </sheets>
  <externalReferences>
    <externalReference r:id="rId11"/>
  </externalReferences>
  <definedNames>
    <definedName name="_xlnm.Print_Area" localSheetId="0">Receipt!$A$4:$D$62</definedName>
  </definedNames>
  <calcPr calcId="162913"/>
  <fileRecoveryPr autoRecover="0"/>
</workbook>
</file>

<file path=xl/calcChain.xml><?xml version="1.0" encoding="utf-8"?>
<calcChain xmlns="http://schemas.openxmlformats.org/spreadsheetml/2006/main">
  <c r="J31" i="166" l="1"/>
  <c r="J30" i="166"/>
  <c r="J29" i="166"/>
  <c r="J28" i="166"/>
  <c r="J27" i="166"/>
  <c r="J26" i="166"/>
  <c r="J25" i="166"/>
  <c r="J24" i="166"/>
  <c r="J23" i="166"/>
  <c r="J22" i="166"/>
  <c r="J21" i="166"/>
  <c r="J20" i="166"/>
  <c r="K20" i="166" s="1"/>
  <c r="M20" i="166" s="1"/>
  <c r="Q20" i="166" s="1"/>
  <c r="J19" i="166"/>
  <c r="J18" i="166"/>
  <c r="J17" i="166"/>
  <c r="J16" i="166"/>
  <c r="K16" i="166" s="1"/>
  <c r="M16" i="166" s="1"/>
  <c r="Q16" i="166" s="1"/>
  <c r="J15" i="166"/>
  <c r="J14" i="166"/>
  <c r="J13" i="166"/>
  <c r="J12" i="166"/>
  <c r="J11" i="166"/>
  <c r="W20" i="166"/>
  <c r="W19" i="166"/>
  <c r="K19" i="166"/>
  <c r="M19" i="166" s="1"/>
  <c r="Q19" i="166" s="1"/>
  <c r="W18" i="166"/>
  <c r="K18" i="166"/>
  <c r="M18" i="166" s="1"/>
  <c r="Q18" i="166" s="1"/>
  <c r="W16" i="166"/>
  <c r="W15" i="166"/>
  <c r="K15" i="166"/>
  <c r="M15" i="166" s="1"/>
  <c r="Q15" i="166" s="1"/>
  <c r="X18" i="166" l="1"/>
  <c r="Y18" i="166" s="1"/>
  <c r="X20" i="166"/>
  <c r="Y20" i="166" s="1"/>
  <c r="X19" i="166"/>
  <c r="Y19" i="166" s="1"/>
  <c r="X15" i="166"/>
  <c r="Y15" i="166" s="1"/>
  <c r="X16" i="166"/>
  <c r="Y16" i="166" s="1"/>
  <c r="D8" i="16"/>
  <c r="Q32" i="166"/>
  <c r="AC35" i="166" l="1"/>
  <c r="AB35" i="166"/>
  <c r="V35" i="166"/>
  <c r="P35" i="166"/>
  <c r="O35" i="166"/>
  <c r="N35" i="166"/>
  <c r="G35" i="166"/>
  <c r="Q33" i="166"/>
  <c r="AG33" i="166" s="1"/>
  <c r="AA32" i="166"/>
  <c r="Y32" i="166"/>
  <c r="W31" i="166"/>
  <c r="K31" i="166"/>
  <c r="M31" i="166" s="1"/>
  <c r="Q31" i="166" s="1"/>
  <c r="W30" i="166"/>
  <c r="U30" i="166"/>
  <c r="K30" i="166"/>
  <c r="M30" i="166" s="1"/>
  <c r="Q30" i="166" s="1"/>
  <c r="W29" i="166"/>
  <c r="U29" i="166"/>
  <c r="L29" i="166"/>
  <c r="K29" i="166"/>
  <c r="W28" i="166"/>
  <c r="L28" i="166"/>
  <c r="K28" i="166"/>
  <c r="W27" i="166"/>
  <c r="L27" i="166"/>
  <c r="K27" i="166"/>
  <c r="W26" i="166"/>
  <c r="U26" i="166"/>
  <c r="K26" i="166"/>
  <c r="M26" i="166" s="1"/>
  <c r="W25" i="166"/>
  <c r="U25" i="166"/>
  <c r="L25" i="166"/>
  <c r="K25" i="166"/>
  <c r="W24" i="166"/>
  <c r="L24" i="166"/>
  <c r="K24" i="166"/>
  <c r="M24" i="166" s="1"/>
  <c r="Q24" i="166" s="1"/>
  <c r="W23" i="166"/>
  <c r="K23" i="166"/>
  <c r="M23" i="166" s="1"/>
  <c r="Q23" i="166" s="1"/>
  <c r="W22" i="166"/>
  <c r="K22" i="166"/>
  <c r="M22" i="166" s="1"/>
  <c r="Q22" i="166" s="1"/>
  <c r="W21" i="166"/>
  <c r="K21" i="166"/>
  <c r="M21" i="166" s="1"/>
  <c r="Q21" i="166" s="1"/>
  <c r="W17" i="166"/>
  <c r="K17" i="166"/>
  <c r="M17" i="166" s="1"/>
  <c r="Q17" i="166" s="1"/>
  <c r="W14" i="166"/>
  <c r="K14" i="166"/>
  <c r="M14" i="166" s="1"/>
  <c r="Q14" i="166" s="1"/>
  <c r="W13" i="166"/>
  <c r="K13" i="166"/>
  <c r="M13" i="166" s="1"/>
  <c r="Q13" i="166" s="1"/>
  <c r="W12" i="166"/>
  <c r="L12" i="166"/>
  <c r="K12" i="166"/>
  <c r="W11" i="166"/>
  <c r="K11" i="166"/>
  <c r="M11" i="166" s="1"/>
  <c r="Q11" i="166" s="1"/>
  <c r="W10" i="166"/>
  <c r="J10" i="166"/>
  <c r="K10" i="166" s="1"/>
  <c r="AE9" i="166"/>
  <c r="T9" i="166"/>
  <c r="S9" i="166"/>
  <c r="R9" i="166"/>
  <c r="T19" i="166" l="1"/>
  <c r="T20" i="166"/>
  <c r="T18" i="166"/>
  <c r="AE19" i="166"/>
  <c r="AE20" i="166"/>
  <c r="AE18" i="166"/>
  <c r="R20" i="166"/>
  <c r="R18" i="166"/>
  <c r="U18" i="166" s="1"/>
  <c r="R19" i="166"/>
  <c r="S20" i="166"/>
  <c r="S18" i="166"/>
  <c r="S19" i="166"/>
  <c r="T33" i="166"/>
  <c r="T15" i="166"/>
  <c r="T16" i="166"/>
  <c r="AE28" i="166"/>
  <c r="AE15" i="166"/>
  <c r="AE16" i="166"/>
  <c r="R16" i="166"/>
  <c r="R15" i="166"/>
  <c r="U15" i="166" s="1"/>
  <c r="S21" i="166"/>
  <c r="S16" i="166"/>
  <c r="S15" i="166"/>
  <c r="Q26" i="166"/>
  <c r="X26" i="166" s="1"/>
  <c r="Y26" i="166" s="1"/>
  <c r="Z26" i="166" s="1"/>
  <c r="AA26" i="166" s="1"/>
  <c r="L35" i="166"/>
  <c r="M28" i="166"/>
  <c r="Q28" i="166" s="1"/>
  <c r="X28" i="166" s="1"/>
  <c r="Y28" i="166" s="1"/>
  <c r="M27" i="166"/>
  <c r="Q27" i="166" s="1"/>
  <c r="AG27" i="166" s="1"/>
  <c r="T10" i="166"/>
  <c r="S11" i="166"/>
  <c r="S12" i="166"/>
  <c r="S23" i="166"/>
  <c r="T12" i="166"/>
  <c r="M12" i="166"/>
  <c r="Q12" i="166" s="1"/>
  <c r="AG12" i="166" s="1"/>
  <c r="S17" i="166"/>
  <c r="M29" i="166"/>
  <c r="AG30" i="166"/>
  <c r="X30" i="166"/>
  <c r="Y30" i="166" s="1"/>
  <c r="Z30" i="166" s="1"/>
  <c r="AA30" i="166" s="1"/>
  <c r="X13" i="166"/>
  <c r="Y13" i="166" s="1"/>
  <c r="AG13" i="166"/>
  <c r="X14" i="166"/>
  <c r="Y14" i="166" s="1"/>
  <c r="AG14" i="166"/>
  <c r="X21" i="166"/>
  <c r="Y21" i="166" s="1"/>
  <c r="AG21" i="166"/>
  <c r="X22" i="166"/>
  <c r="Y22" i="166" s="1"/>
  <c r="AG22" i="166"/>
  <c r="X23" i="166"/>
  <c r="Y23" i="166" s="1"/>
  <c r="AG23" i="166"/>
  <c r="X24" i="166"/>
  <c r="Y24" i="166" s="1"/>
  <c r="AG24" i="166"/>
  <c r="X31" i="166"/>
  <c r="Y31" i="166" s="1"/>
  <c r="AG31" i="166"/>
  <c r="K35" i="166"/>
  <c r="M10" i="166"/>
  <c r="AG11" i="166"/>
  <c r="X11" i="166"/>
  <c r="Y11" i="166" s="1"/>
  <c r="X17" i="166"/>
  <c r="Y17" i="166" s="1"/>
  <c r="AG17" i="166"/>
  <c r="R27" i="166"/>
  <c r="R33" i="166"/>
  <c r="R28" i="166"/>
  <c r="R22" i="166"/>
  <c r="R14" i="166"/>
  <c r="AE12" i="166"/>
  <c r="S33" i="166"/>
  <c r="S28" i="166"/>
  <c r="S22" i="166"/>
  <c r="S14" i="166"/>
  <c r="S34" i="166"/>
  <c r="S31" i="166"/>
  <c r="S24" i="166"/>
  <c r="R10" i="166"/>
  <c r="W35" i="166"/>
  <c r="T11" i="166"/>
  <c r="AE11" i="166"/>
  <c r="S13" i="166"/>
  <c r="S27" i="166"/>
  <c r="T28" i="166"/>
  <c r="AE34" i="166"/>
  <c r="AF9" i="166"/>
  <c r="R13" i="166"/>
  <c r="AG28" i="166"/>
  <c r="R34" i="166"/>
  <c r="T34" i="166"/>
  <c r="T31" i="166"/>
  <c r="T24" i="166"/>
  <c r="T23" i="166"/>
  <c r="T21" i="166"/>
  <c r="T17" i="166"/>
  <c r="S10" i="166"/>
  <c r="R12" i="166"/>
  <c r="T13" i="166"/>
  <c r="AE13" i="166"/>
  <c r="T14" i="166"/>
  <c r="T22" i="166"/>
  <c r="R24" i="166"/>
  <c r="M25" i="166"/>
  <c r="Q25" i="166" s="1"/>
  <c r="T27" i="166"/>
  <c r="AD33" i="166"/>
  <c r="AE31" i="166"/>
  <c r="AE24" i="166"/>
  <c r="AE33" i="166"/>
  <c r="AE23" i="166"/>
  <c r="AE21" i="166"/>
  <c r="AE17" i="166"/>
  <c r="AE10" i="166"/>
  <c r="R11" i="166"/>
  <c r="AE14" i="166"/>
  <c r="R17" i="166"/>
  <c r="R21" i="166"/>
  <c r="AE22" i="166"/>
  <c r="R23" i="166"/>
  <c r="AE27" i="166"/>
  <c r="AE30" i="166"/>
  <c r="R31" i="166"/>
  <c r="Y27" i="165"/>
  <c r="U27" i="165"/>
  <c r="X27" i="166" l="1"/>
  <c r="Y27" i="166" s="1"/>
  <c r="Z18" i="166"/>
  <c r="AA18" i="166" s="1"/>
  <c r="AH18" i="166" s="1"/>
  <c r="AF19" i="166"/>
  <c r="AF20" i="166"/>
  <c r="AF18" i="166"/>
  <c r="U16" i="166"/>
  <c r="U20" i="166"/>
  <c r="U19" i="166"/>
  <c r="Q29" i="166"/>
  <c r="AG29" i="166" s="1"/>
  <c r="Z16" i="166"/>
  <c r="AA16" i="166" s="1"/>
  <c r="AH16" i="166" s="1"/>
  <c r="U12" i="166"/>
  <c r="Z15" i="166"/>
  <c r="AA15" i="166" s="1"/>
  <c r="AH15" i="166" s="1"/>
  <c r="AF15" i="166"/>
  <c r="AF16" i="166"/>
  <c r="AG26" i="166"/>
  <c r="X12" i="166"/>
  <c r="Y12" i="166" s="1"/>
  <c r="Z12" i="166" s="1"/>
  <c r="AA12" i="166" s="1"/>
  <c r="AH12" i="166" s="1"/>
  <c r="U24" i="166"/>
  <c r="Z24" i="166" s="1"/>
  <c r="AA24" i="166" s="1"/>
  <c r="AH24" i="166" s="1"/>
  <c r="U21" i="166"/>
  <c r="Z21" i="166" s="1"/>
  <c r="AA21" i="166" s="1"/>
  <c r="AH21" i="166" s="1"/>
  <c r="U17" i="166"/>
  <c r="Z17" i="166" s="1"/>
  <c r="AA17" i="166" s="1"/>
  <c r="AH17" i="166" s="1"/>
  <c r="T35" i="166"/>
  <c r="AH30" i="166"/>
  <c r="AD30" i="166"/>
  <c r="AH26" i="166"/>
  <c r="AD26" i="166"/>
  <c r="U23" i="166"/>
  <c r="AG25" i="166"/>
  <c r="X25" i="166"/>
  <c r="Y25" i="166" s="1"/>
  <c r="Z25" i="166" s="1"/>
  <c r="AA25" i="166" s="1"/>
  <c r="AE35" i="166"/>
  <c r="U28" i="166"/>
  <c r="U13" i="166"/>
  <c r="R35" i="166"/>
  <c r="U10" i="166"/>
  <c r="U14" i="166"/>
  <c r="U22" i="166"/>
  <c r="U27" i="166"/>
  <c r="M35" i="166"/>
  <c r="Q10" i="166"/>
  <c r="U31" i="166"/>
  <c r="U11" i="166"/>
  <c r="S35" i="166"/>
  <c r="AF33" i="166"/>
  <c r="AF23" i="166"/>
  <c r="AF21" i="166"/>
  <c r="AF17" i="166"/>
  <c r="AF30" i="166"/>
  <c r="AF27" i="166"/>
  <c r="AF28" i="166"/>
  <c r="AF24" i="166"/>
  <c r="AF13" i="166"/>
  <c r="AF34" i="166"/>
  <c r="AF11" i="166"/>
  <c r="AF31" i="166"/>
  <c r="AF10" i="166"/>
  <c r="AF12" i="166"/>
  <c r="AF22" i="166"/>
  <c r="AF14" i="166"/>
  <c r="L27" i="165"/>
  <c r="M30" i="165"/>
  <c r="M29" i="165"/>
  <c r="M28" i="165"/>
  <c r="M26" i="165"/>
  <c r="M25" i="165"/>
  <c r="M24" i="165"/>
  <c r="M23" i="165"/>
  <c r="M22" i="165"/>
  <c r="M21" i="165"/>
  <c r="M20" i="165"/>
  <c r="M19" i="165"/>
  <c r="M18" i="165"/>
  <c r="M17" i="165"/>
  <c r="M16" i="165"/>
  <c r="M15" i="165"/>
  <c r="M14" i="165"/>
  <c r="M13" i="165"/>
  <c r="M12" i="165"/>
  <c r="M11" i="165"/>
  <c r="K31" i="165"/>
  <c r="M31" i="165" s="1"/>
  <c r="K30" i="165"/>
  <c r="K29" i="165"/>
  <c r="K28" i="165"/>
  <c r="K27" i="165"/>
  <c r="M27" i="165" s="1"/>
  <c r="K26" i="165"/>
  <c r="K25" i="165"/>
  <c r="K24" i="165"/>
  <c r="K23" i="165"/>
  <c r="K22" i="165"/>
  <c r="K21" i="165"/>
  <c r="K20" i="165"/>
  <c r="K19" i="165"/>
  <c r="K18" i="165"/>
  <c r="K17" i="165"/>
  <c r="K16" i="165"/>
  <c r="K15" i="165"/>
  <c r="K14" i="165"/>
  <c r="K13" i="165"/>
  <c r="K12" i="165"/>
  <c r="K11" i="165"/>
  <c r="W27" i="165"/>
  <c r="U31" i="165"/>
  <c r="U30" i="165"/>
  <c r="U26" i="165"/>
  <c r="L26" i="165"/>
  <c r="W26" i="165"/>
  <c r="J26" i="165"/>
  <c r="L24" i="165"/>
  <c r="AD18" i="166" l="1"/>
  <c r="AD16" i="166"/>
  <c r="AD15" i="166"/>
  <c r="Z19" i="166"/>
  <c r="AA19" i="166" s="1"/>
  <c r="AH19" i="166" s="1"/>
  <c r="Z20" i="166"/>
  <c r="AA20" i="166" s="1"/>
  <c r="AH20" i="166" s="1"/>
  <c r="X29" i="166"/>
  <c r="Y29" i="166" s="1"/>
  <c r="Z29" i="166" s="1"/>
  <c r="AA29" i="166" s="1"/>
  <c r="AH29" i="166" s="1"/>
  <c r="AD24" i="166"/>
  <c r="AD17" i="166"/>
  <c r="AF35" i="166"/>
  <c r="AD12" i="166"/>
  <c r="AH25" i="166"/>
  <c r="AD25" i="166"/>
  <c r="Z11" i="166"/>
  <c r="AA11" i="166" s="1"/>
  <c r="AH11" i="166" s="1"/>
  <c r="Z22" i="166"/>
  <c r="AA22" i="166" s="1"/>
  <c r="AH22" i="166" s="1"/>
  <c r="Z13" i="166"/>
  <c r="AA13" i="166" s="1"/>
  <c r="AH13" i="166" s="1"/>
  <c r="Z31" i="166"/>
  <c r="AA31" i="166" s="1"/>
  <c r="AH31" i="166" s="1"/>
  <c r="Z14" i="166"/>
  <c r="AA14" i="166" s="1"/>
  <c r="AH14" i="166" s="1"/>
  <c r="Z28" i="166"/>
  <c r="AA28" i="166" s="1"/>
  <c r="AH28" i="166" s="1"/>
  <c r="AD21" i="166"/>
  <c r="Z27" i="166"/>
  <c r="AA27" i="166" s="1"/>
  <c r="AH27" i="166" s="1"/>
  <c r="Z23" i="166"/>
  <c r="AA23" i="166" s="1"/>
  <c r="AH23" i="166" s="1"/>
  <c r="AD10" i="166"/>
  <c r="X10" i="166"/>
  <c r="Q35" i="166"/>
  <c r="AG10" i="166"/>
  <c r="AG35" i="166" s="1"/>
  <c r="U35" i="166"/>
  <c r="Q26" i="165"/>
  <c r="X26" i="165" s="1"/>
  <c r="Y26" i="165" s="1"/>
  <c r="Z26" i="165" s="1"/>
  <c r="AA26" i="165" s="1"/>
  <c r="AD26" i="165" s="1"/>
  <c r="Q27" i="165"/>
  <c r="X27" i="165" s="1"/>
  <c r="Z27" i="165" s="1"/>
  <c r="AA27" i="165" s="1"/>
  <c r="AH27" i="165" s="1"/>
  <c r="Q24" i="165"/>
  <c r="AG26" i="165"/>
  <c r="AD20" i="166" l="1"/>
  <c r="AD19" i="166"/>
  <c r="AD29" i="166"/>
  <c r="AD22" i="166"/>
  <c r="AD14" i="166"/>
  <c r="AD27" i="166"/>
  <c r="AD23" i="166"/>
  <c r="X35" i="166"/>
  <c r="Y10" i="166"/>
  <c r="AD13" i="166"/>
  <c r="AD11" i="166"/>
  <c r="AD38" i="166"/>
  <c r="AD28" i="166"/>
  <c r="AD31" i="166"/>
  <c r="AG27" i="165"/>
  <c r="AD27" i="165"/>
  <c r="AD40" i="165" s="1"/>
  <c r="AG24" i="165"/>
  <c r="X24" i="165"/>
  <c r="AH26" i="165"/>
  <c r="AD35" i="166" l="1"/>
  <c r="Y35" i="166"/>
  <c r="Z10" i="166"/>
  <c r="W31" i="165"/>
  <c r="J31" i="165"/>
  <c r="L30" i="165"/>
  <c r="J30" i="165"/>
  <c r="J29" i="165"/>
  <c r="J28" i="165"/>
  <c r="Q28" i="165" s="1"/>
  <c r="J25" i="165"/>
  <c r="J23" i="165"/>
  <c r="Q23" i="165" s="1"/>
  <c r="J22" i="165"/>
  <c r="Q22" i="165" s="1"/>
  <c r="J21" i="165"/>
  <c r="Q21" i="165" s="1"/>
  <c r="J20" i="165"/>
  <c r="Q20" i="165" s="1"/>
  <c r="J19" i="165"/>
  <c r="Q19" i="165" s="1"/>
  <c r="J18" i="165"/>
  <c r="Q18" i="165" s="1"/>
  <c r="J17" i="165"/>
  <c r="Q17" i="165" s="1"/>
  <c r="J16" i="165"/>
  <c r="Q16" i="165" s="1"/>
  <c r="J15" i="165"/>
  <c r="Q15" i="165" s="1"/>
  <c r="J14" i="165"/>
  <c r="Q14" i="165" s="1"/>
  <c r="J13" i="165"/>
  <c r="Q13" i="165" s="1"/>
  <c r="J12" i="165"/>
  <c r="J11" i="165"/>
  <c r="Q11" i="165" s="1"/>
  <c r="AC36" i="165"/>
  <c r="AB36" i="165"/>
  <c r="V36" i="165"/>
  <c r="P36" i="165"/>
  <c r="O36" i="165"/>
  <c r="N36" i="165"/>
  <c r="G36" i="165"/>
  <c r="W30" i="165"/>
  <c r="W29" i="165"/>
  <c r="L29" i="165"/>
  <c r="W28" i="165"/>
  <c r="L28" i="165"/>
  <c r="W25" i="165"/>
  <c r="L25" i="165"/>
  <c r="W24" i="165"/>
  <c r="Y24" i="165" s="1"/>
  <c r="W23" i="165"/>
  <c r="W22" i="165"/>
  <c r="W21" i="165"/>
  <c r="W20" i="165"/>
  <c r="W19" i="165"/>
  <c r="W18" i="165"/>
  <c r="W17" i="165"/>
  <c r="W16" i="165"/>
  <c r="W15" i="165"/>
  <c r="W14" i="165"/>
  <c r="W13" i="165"/>
  <c r="W12" i="165"/>
  <c r="L12" i="165"/>
  <c r="W11" i="165"/>
  <c r="W10" i="165"/>
  <c r="J10" i="165"/>
  <c r="K10" i="165" s="1"/>
  <c r="AE9" i="165"/>
  <c r="T9" i="165"/>
  <c r="S9" i="165"/>
  <c r="S29" i="165" s="1"/>
  <c r="R9" i="165"/>
  <c r="R10" i="165" s="1"/>
  <c r="AG37" i="166" l="1"/>
  <c r="AH37" i="166" s="1"/>
  <c r="AD37" i="166"/>
  <c r="AD41" i="166"/>
  <c r="Z35" i="166"/>
  <c r="AA10" i="166"/>
  <c r="Q31" i="165"/>
  <c r="X14" i="165"/>
  <c r="AG14" i="165"/>
  <c r="X22" i="165"/>
  <c r="Y22" i="165" s="1"/>
  <c r="AG22" i="165"/>
  <c r="Q29" i="165"/>
  <c r="AG31" i="165"/>
  <c r="X31" i="165"/>
  <c r="Y31" i="165" s="1"/>
  <c r="Z31" i="165" s="1"/>
  <c r="AA31" i="165" s="1"/>
  <c r="AD31" i="165" s="1"/>
  <c r="X13" i="165"/>
  <c r="AG13" i="165"/>
  <c r="X21" i="165"/>
  <c r="AG21" i="165"/>
  <c r="Y13" i="165"/>
  <c r="Y14" i="165"/>
  <c r="AG11" i="165"/>
  <c r="X11" i="165"/>
  <c r="Y11" i="165" s="1"/>
  <c r="X15" i="165"/>
  <c r="AG15" i="165"/>
  <c r="X19" i="165"/>
  <c r="Y19" i="165" s="1"/>
  <c r="AG19" i="165"/>
  <c r="AG23" i="165"/>
  <c r="X23" i="165"/>
  <c r="Q30" i="165"/>
  <c r="X17" i="165"/>
  <c r="Y17" i="165" s="1"/>
  <c r="AG17" i="165"/>
  <c r="AG28" i="165"/>
  <c r="X28" i="165"/>
  <c r="Y28" i="165" s="1"/>
  <c r="Y21" i="165"/>
  <c r="AG18" i="165"/>
  <c r="X18" i="165"/>
  <c r="Y18" i="165" s="1"/>
  <c r="AE29" i="165"/>
  <c r="AE22" i="165"/>
  <c r="AE18" i="165"/>
  <c r="AE14" i="165"/>
  <c r="AE25" i="165"/>
  <c r="AE21" i="165"/>
  <c r="AE17" i="165"/>
  <c r="AE23" i="165"/>
  <c r="AE19" i="165"/>
  <c r="AE15" i="165"/>
  <c r="AE11" i="165"/>
  <c r="AE31" i="165"/>
  <c r="AE24" i="165"/>
  <c r="AE20" i="165"/>
  <c r="AE16" i="165"/>
  <c r="AE12" i="165"/>
  <c r="AE28" i="165"/>
  <c r="AE13" i="165"/>
  <c r="Y15" i="165"/>
  <c r="Y23" i="165"/>
  <c r="Q12" i="165"/>
  <c r="AG16" i="165"/>
  <c r="X16" i="165"/>
  <c r="Y16" i="165" s="1"/>
  <c r="AG20" i="165"/>
  <c r="X20" i="165"/>
  <c r="Y20" i="165" s="1"/>
  <c r="Q25" i="165"/>
  <c r="S14" i="165"/>
  <c r="S23" i="165"/>
  <c r="T11" i="165"/>
  <c r="L36" i="165"/>
  <c r="K36" i="165"/>
  <c r="M10" i="165"/>
  <c r="AF9" i="165"/>
  <c r="S13" i="165"/>
  <c r="S16" i="165"/>
  <c r="S20" i="165"/>
  <c r="T24" i="165"/>
  <c r="S24" i="165"/>
  <c r="S11" i="165"/>
  <c r="S35" i="165"/>
  <c r="S25" i="165"/>
  <c r="S22" i="165"/>
  <c r="S19" i="165"/>
  <c r="S17" i="165"/>
  <c r="S15" i="165"/>
  <c r="S28" i="165"/>
  <c r="W36" i="165"/>
  <c r="T35" i="165"/>
  <c r="T25" i="165"/>
  <c r="T22" i="165"/>
  <c r="T19" i="165"/>
  <c r="T17" i="165"/>
  <c r="T15" i="165"/>
  <c r="T14" i="165"/>
  <c r="T12" i="165"/>
  <c r="T28" i="165"/>
  <c r="T29" i="165"/>
  <c r="T23" i="165"/>
  <c r="T21" i="165"/>
  <c r="T20" i="165"/>
  <c r="T18" i="165"/>
  <c r="T16" i="165"/>
  <c r="T13" i="165"/>
  <c r="S10" i="165"/>
  <c r="S12" i="165"/>
  <c r="S21" i="165"/>
  <c r="R29" i="165"/>
  <c r="R23" i="165"/>
  <c r="R21" i="165"/>
  <c r="R20" i="165"/>
  <c r="R18" i="165"/>
  <c r="R16" i="165"/>
  <c r="R13" i="165"/>
  <c r="R24" i="165"/>
  <c r="R35" i="165"/>
  <c r="R25" i="165"/>
  <c r="R22" i="165"/>
  <c r="R19" i="165"/>
  <c r="R17" i="165"/>
  <c r="R15" i="165"/>
  <c r="R14" i="165"/>
  <c r="R12" i="165"/>
  <c r="R11" i="165"/>
  <c r="T10" i="165"/>
  <c r="AE10" i="165"/>
  <c r="S18" i="165"/>
  <c r="R28" i="165"/>
  <c r="AE35" i="165"/>
  <c r="AA35" i="166" l="1"/>
  <c r="AH10" i="166"/>
  <c r="AH35" i="166" s="1"/>
  <c r="U17" i="165"/>
  <c r="Z17" i="165" s="1"/>
  <c r="AA17" i="165" s="1"/>
  <c r="AD17" i="165" s="1"/>
  <c r="U15" i="165"/>
  <c r="Z15" i="165" s="1"/>
  <c r="AA15" i="165" s="1"/>
  <c r="AD15" i="165" s="1"/>
  <c r="U25" i="165"/>
  <c r="U24" i="165"/>
  <c r="Z24" i="165" s="1"/>
  <c r="AA24" i="165" s="1"/>
  <c r="AD24" i="165" s="1"/>
  <c r="U29" i="165"/>
  <c r="U22" i="165"/>
  <c r="U14" i="165"/>
  <c r="U28" i="165"/>
  <c r="Z28" i="165" s="1"/>
  <c r="AA28" i="165" s="1"/>
  <c r="AD28" i="165" s="1"/>
  <c r="U13" i="165"/>
  <c r="Z13" i="165" s="1"/>
  <c r="AA13" i="165" s="1"/>
  <c r="AD13" i="165" s="1"/>
  <c r="U21" i="165"/>
  <c r="Z21" i="165" s="1"/>
  <c r="AA21" i="165" s="1"/>
  <c r="AD21" i="165" s="1"/>
  <c r="X25" i="165"/>
  <c r="Y25" i="165" s="1"/>
  <c r="Z25" i="165" s="1"/>
  <c r="AA25" i="165" s="1"/>
  <c r="AD25" i="165" s="1"/>
  <c r="AG25" i="165"/>
  <c r="U16" i="165"/>
  <c r="U23" i="165"/>
  <c r="AG12" i="165"/>
  <c r="X12" i="165"/>
  <c r="Y12" i="165" s="1"/>
  <c r="X29" i="165"/>
  <c r="Y29" i="165" s="1"/>
  <c r="AG29" i="165"/>
  <c r="U11" i="165"/>
  <c r="Z11" i="165" s="1"/>
  <c r="AA11" i="165" s="1"/>
  <c r="AH11" i="165" s="1"/>
  <c r="U12" i="165"/>
  <c r="U19" i="165"/>
  <c r="U18" i="165"/>
  <c r="U20" i="165"/>
  <c r="AF23" i="165"/>
  <c r="AF19" i="165"/>
  <c r="AF15" i="165"/>
  <c r="AF11" i="165"/>
  <c r="AF29" i="165"/>
  <c r="AF14" i="165"/>
  <c r="AF31" i="165"/>
  <c r="AF24" i="165"/>
  <c r="AF20" i="165"/>
  <c r="AF16" i="165"/>
  <c r="AF12" i="165"/>
  <c r="AF22" i="165"/>
  <c r="AF28" i="165"/>
  <c r="AF25" i="165"/>
  <c r="AF21" i="165"/>
  <c r="AF17" i="165"/>
  <c r="AF13" i="165"/>
  <c r="AF18" i="165"/>
  <c r="X30" i="165"/>
  <c r="Y30" i="165" s="1"/>
  <c r="Z30" i="165" s="1"/>
  <c r="AA30" i="165" s="1"/>
  <c r="AD30" i="165" s="1"/>
  <c r="AG30" i="165"/>
  <c r="AH31" i="165"/>
  <c r="AE36" i="165"/>
  <c r="R36" i="165"/>
  <c r="T36" i="165"/>
  <c r="AF35" i="165"/>
  <c r="AF10" i="165"/>
  <c r="M36" i="165"/>
  <c r="Q10" i="165"/>
  <c r="S36" i="165"/>
  <c r="U10" i="165"/>
  <c r="AG16" i="164"/>
  <c r="AF16" i="164"/>
  <c r="AE16" i="164"/>
  <c r="T16" i="164"/>
  <c r="S16" i="164"/>
  <c r="R16" i="164"/>
  <c r="K16" i="164"/>
  <c r="Z29" i="165" l="1"/>
  <c r="AA29" i="165" s="1"/>
  <c r="AD29" i="165" s="1"/>
  <c r="Z14" i="165"/>
  <c r="AA14" i="165" s="1"/>
  <c r="AH14" i="165" s="1"/>
  <c r="Z22" i="165"/>
  <c r="AA22" i="165" s="1"/>
  <c r="AH22" i="165" s="1"/>
  <c r="Z20" i="165"/>
  <c r="AA20" i="165" s="1"/>
  <c r="AD20" i="165" s="1"/>
  <c r="Z18" i="165"/>
  <c r="AA18" i="165" s="1"/>
  <c r="AH18" i="165" s="1"/>
  <c r="Z12" i="165"/>
  <c r="AA12" i="165" s="1"/>
  <c r="AD12" i="165" s="1"/>
  <c r="Z23" i="165"/>
  <c r="AA23" i="165" s="1"/>
  <c r="AH23" i="165" s="1"/>
  <c r="Z19" i="165"/>
  <c r="AA19" i="165" s="1"/>
  <c r="AH19" i="165" s="1"/>
  <c r="Z16" i="165"/>
  <c r="AA16" i="165" s="1"/>
  <c r="AH16" i="165" s="1"/>
  <c r="AH24" i="165"/>
  <c r="U36" i="165"/>
  <c r="AD11" i="165"/>
  <c r="Q36" i="165"/>
  <c r="AD10" i="165"/>
  <c r="X10" i="165"/>
  <c r="AG10" i="165"/>
  <c r="AG36" i="165" s="1"/>
  <c r="AH13" i="165"/>
  <c r="AH15" i="165"/>
  <c r="AH21" i="165"/>
  <c r="AH30" i="165"/>
  <c r="AH25" i="165"/>
  <c r="AH28" i="165"/>
  <c r="AF36" i="165"/>
  <c r="AH17" i="165"/>
  <c r="J31" i="164"/>
  <c r="J30" i="164"/>
  <c r="J29" i="164"/>
  <c r="J28" i="164"/>
  <c r="K28" i="164" s="1"/>
  <c r="M28" i="164" s="1"/>
  <c r="Q28" i="164" s="1"/>
  <c r="J27" i="164"/>
  <c r="J26" i="164"/>
  <c r="J25" i="164"/>
  <c r="K25" i="164" s="1"/>
  <c r="M25" i="164" s="1"/>
  <c r="Q25" i="164" s="1"/>
  <c r="J24" i="164"/>
  <c r="K24" i="164" s="1"/>
  <c r="M24" i="164" s="1"/>
  <c r="Q24" i="164" s="1"/>
  <c r="J23" i="164"/>
  <c r="J21" i="164"/>
  <c r="J20" i="164"/>
  <c r="K20" i="164" s="1"/>
  <c r="M20" i="164" s="1"/>
  <c r="Q20" i="164" s="1"/>
  <c r="J19" i="164"/>
  <c r="J18" i="164"/>
  <c r="J17" i="164"/>
  <c r="J16" i="164"/>
  <c r="J14" i="164"/>
  <c r="J13" i="164"/>
  <c r="K13" i="164" s="1"/>
  <c r="M13" i="164" s="1"/>
  <c r="Q13" i="164" s="1"/>
  <c r="J12" i="164"/>
  <c r="K12" i="164" s="1"/>
  <c r="M12" i="164" s="1"/>
  <c r="Q12" i="164" s="1"/>
  <c r="J11" i="164"/>
  <c r="AC35" i="164"/>
  <c r="AB35" i="164"/>
  <c r="V35" i="164"/>
  <c r="P35" i="164"/>
  <c r="O35" i="164"/>
  <c r="N35" i="164"/>
  <c r="G35" i="164"/>
  <c r="AG33" i="164"/>
  <c r="Q33" i="164"/>
  <c r="AD33" i="164" s="1"/>
  <c r="W31" i="164"/>
  <c r="K31" i="164"/>
  <c r="M31" i="164" s="1"/>
  <c r="Q31" i="164" s="1"/>
  <c r="AE30" i="164"/>
  <c r="W30" i="164"/>
  <c r="K30" i="164"/>
  <c r="M30" i="164" s="1"/>
  <c r="Q30" i="164" s="1"/>
  <c r="W29" i="164"/>
  <c r="L29" i="164"/>
  <c r="K29" i="164"/>
  <c r="M29" i="164" s="1"/>
  <c r="Q29" i="164" s="1"/>
  <c r="W28" i="164"/>
  <c r="L28" i="164"/>
  <c r="AE27" i="164"/>
  <c r="W27" i="164"/>
  <c r="T27" i="164"/>
  <c r="L27" i="164"/>
  <c r="K27" i="164"/>
  <c r="M27" i="164" s="1"/>
  <c r="Q27" i="164" s="1"/>
  <c r="W26" i="164"/>
  <c r="L26" i="164"/>
  <c r="K26" i="164"/>
  <c r="W25" i="164"/>
  <c r="AE24" i="164"/>
  <c r="W24" i="164"/>
  <c r="T24" i="164"/>
  <c r="W23" i="164"/>
  <c r="K23" i="164"/>
  <c r="M23" i="164" s="1"/>
  <c r="Q23" i="164" s="1"/>
  <c r="AE22" i="164"/>
  <c r="W22" i="164"/>
  <c r="U22" i="164"/>
  <c r="K22" i="164"/>
  <c r="M22" i="164" s="1"/>
  <c r="Q22" i="164" s="1"/>
  <c r="W21" i="164"/>
  <c r="K21" i="164"/>
  <c r="M21" i="164" s="1"/>
  <c r="Q21" i="164" s="1"/>
  <c r="X21" i="164" s="1"/>
  <c r="W20" i="164"/>
  <c r="W19" i="164"/>
  <c r="S19" i="164"/>
  <c r="K19" i="164"/>
  <c r="M19" i="164" s="1"/>
  <c r="Q19" i="164" s="1"/>
  <c r="W18" i="164"/>
  <c r="K18" i="164"/>
  <c r="M18" i="164" s="1"/>
  <c r="Q18" i="164" s="1"/>
  <c r="AE17" i="164"/>
  <c r="W17" i="164"/>
  <c r="K17" i="164"/>
  <c r="M17" i="164" s="1"/>
  <c r="Q17" i="164" s="1"/>
  <c r="W16" i="164"/>
  <c r="U16" i="164"/>
  <c r="M16" i="164"/>
  <c r="Q16" i="164" s="1"/>
  <c r="AE15" i="164"/>
  <c r="W15" i="164"/>
  <c r="K15" i="164"/>
  <c r="M15" i="164" s="1"/>
  <c r="Q15" i="164" s="1"/>
  <c r="W14" i="164"/>
  <c r="T14" i="164"/>
  <c r="S14" i="164"/>
  <c r="K14" i="164"/>
  <c r="M14" i="164" s="1"/>
  <c r="Q14" i="164" s="1"/>
  <c r="AE13" i="164"/>
  <c r="W13" i="164"/>
  <c r="AE12" i="164"/>
  <c r="W12" i="164"/>
  <c r="T12" i="164"/>
  <c r="L12" i="164"/>
  <c r="AE11" i="164"/>
  <c r="W11" i="164"/>
  <c r="T11" i="164"/>
  <c r="S11" i="164"/>
  <c r="K11" i="164"/>
  <c r="M11" i="164" s="1"/>
  <c r="Q11" i="164" s="1"/>
  <c r="W10" i="164"/>
  <c r="W35" i="164" s="1"/>
  <c r="J10" i="164"/>
  <c r="K10" i="164" s="1"/>
  <c r="AE9" i="164"/>
  <c r="T9" i="164"/>
  <c r="S9" i="164"/>
  <c r="S33" i="164" s="1"/>
  <c r="R9" i="164"/>
  <c r="AH20" i="165" l="1"/>
  <c r="AH29" i="165"/>
  <c r="AD18" i="165"/>
  <c r="AD22" i="165"/>
  <c r="AH12" i="165"/>
  <c r="AD14" i="165"/>
  <c r="AD16" i="165"/>
  <c r="AD23" i="165"/>
  <c r="AD19" i="165"/>
  <c r="AD39" i="165"/>
  <c r="X36" i="165"/>
  <c r="Y10" i="165"/>
  <c r="AG11" i="164"/>
  <c r="X11" i="164"/>
  <c r="Y11" i="164" s="1"/>
  <c r="X12" i="164"/>
  <c r="Y12" i="164" s="1"/>
  <c r="AG12" i="164"/>
  <c r="AG17" i="164"/>
  <c r="X17" i="164"/>
  <c r="Y17" i="164" s="1"/>
  <c r="X18" i="164"/>
  <c r="Y18" i="164" s="1"/>
  <c r="AG18" i="164"/>
  <c r="X28" i="164"/>
  <c r="Y28" i="164" s="1"/>
  <c r="AG28" i="164"/>
  <c r="X15" i="164"/>
  <c r="Y15" i="164" s="1"/>
  <c r="AG15" i="164"/>
  <c r="X20" i="164"/>
  <c r="Y20" i="164" s="1"/>
  <c r="AG20" i="164"/>
  <c r="M10" i="164"/>
  <c r="K35" i="164"/>
  <c r="AG14" i="164"/>
  <c r="X14" i="164"/>
  <c r="Y14" i="164" s="1"/>
  <c r="X16" i="164"/>
  <c r="Y16" i="164" s="1"/>
  <c r="Z16" i="164" s="1"/>
  <c r="AA16" i="164" s="1"/>
  <c r="X13" i="164"/>
  <c r="Y13" i="164" s="1"/>
  <c r="AG13" i="164"/>
  <c r="AG19" i="164"/>
  <c r="X19" i="164"/>
  <c r="Y19" i="164" s="1"/>
  <c r="R33" i="164"/>
  <c r="R26" i="164"/>
  <c r="R21" i="164"/>
  <c r="R34" i="164"/>
  <c r="R30" i="164"/>
  <c r="R27" i="164"/>
  <c r="R24" i="164"/>
  <c r="R28" i="164"/>
  <c r="R20" i="164"/>
  <c r="R18" i="164"/>
  <c r="R17" i="164"/>
  <c r="R10" i="164"/>
  <c r="S17" i="164"/>
  <c r="AG21" i="164"/>
  <c r="X23" i="164"/>
  <c r="Y23" i="164" s="1"/>
  <c r="AG23" i="164"/>
  <c r="X25" i="164"/>
  <c r="Y25" i="164" s="1"/>
  <c r="AG25" i="164"/>
  <c r="S26" i="164"/>
  <c r="X29" i="164"/>
  <c r="Y29" i="164" s="1"/>
  <c r="X30" i="164"/>
  <c r="Y30" i="164" s="1"/>
  <c r="AG30" i="164"/>
  <c r="T28" i="164"/>
  <c r="T20" i="164"/>
  <c r="T31" i="164"/>
  <c r="T29" i="164"/>
  <c r="T25" i="164"/>
  <c r="T23" i="164"/>
  <c r="T33" i="164"/>
  <c r="T26" i="164"/>
  <c r="T21" i="164"/>
  <c r="T19" i="164"/>
  <c r="S10" i="164"/>
  <c r="R12" i="164"/>
  <c r="R13" i="164"/>
  <c r="T17" i="164"/>
  <c r="T18" i="164"/>
  <c r="S21" i="164"/>
  <c r="R23" i="164"/>
  <c r="R25" i="164"/>
  <c r="AG29" i="164"/>
  <c r="T30" i="164"/>
  <c r="X31" i="164"/>
  <c r="AG31" i="164"/>
  <c r="AE33" i="164"/>
  <c r="AE28" i="164"/>
  <c r="AE20" i="164"/>
  <c r="AE31" i="164"/>
  <c r="AE29" i="164"/>
  <c r="AE25" i="164"/>
  <c r="AE23" i="164"/>
  <c r="AE34" i="164"/>
  <c r="AE26" i="164"/>
  <c r="AE21" i="164"/>
  <c r="AE19" i="164"/>
  <c r="T10" i="164"/>
  <c r="AE10" i="164"/>
  <c r="R11" i="164"/>
  <c r="U11" i="164" s="1"/>
  <c r="L35" i="164"/>
  <c r="S12" i="164"/>
  <c r="T13" i="164"/>
  <c r="R14" i="164"/>
  <c r="U14" i="164" s="1"/>
  <c r="AE14" i="164"/>
  <c r="AE18" i="164"/>
  <c r="R19" i="164"/>
  <c r="Y21" i="164"/>
  <c r="M26" i="164"/>
  <c r="Q26" i="164" s="1"/>
  <c r="R29" i="164"/>
  <c r="R31" i="164"/>
  <c r="T34" i="164"/>
  <c r="AF9" i="164"/>
  <c r="X22" i="164"/>
  <c r="Y22" i="164" s="1"/>
  <c r="Z22" i="164" s="1"/>
  <c r="AA22" i="164" s="1"/>
  <c r="AG22" i="164"/>
  <c r="X24" i="164"/>
  <c r="Y24" i="164" s="1"/>
  <c r="AG24" i="164"/>
  <c r="X27" i="164"/>
  <c r="Y27" i="164" s="1"/>
  <c r="AG27" i="164"/>
  <c r="Y31" i="164"/>
  <c r="S34" i="164"/>
  <c r="S30" i="164"/>
  <c r="S27" i="164"/>
  <c r="S24" i="164"/>
  <c r="S28" i="164"/>
  <c r="S20" i="164"/>
  <c r="S18" i="164"/>
  <c r="S13" i="164"/>
  <c r="S31" i="164"/>
  <c r="S29" i="164"/>
  <c r="S25" i="164"/>
  <c r="S23" i="164"/>
  <c r="W31" i="163"/>
  <c r="W30" i="163"/>
  <c r="W29" i="163"/>
  <c r="W28" i="163"/>
  <c r="W27" i="163"/>
  <c r="W26" i="163"/>
  <c r="W25" i="163"/>
  <c r="W24" i="163"/>
  <c r="W23" i="163"/>
  <c r="W22" i="163"/>
  <c r="W21" i="163"/>
  <c r="W20" i="163"/>
  <c r="W19" i="163"/>
  <c r="W18" i="163"/>
  <c r="W17" i="163"/>
  <c r="W16" i="163"/>
  <c r="W15" i="163"/>
  <c r="W14" i="163"/>
  <c r="W13" i="163"/>
  <c r="W12" i="163"/>
  <c r="W11" i="163"/>
  <c r="W10" i="163"/>
  <c r="U22" i="163"/>
  <c r="G2" i="16"/>
  <c r="C2" i="16"/>
  <c r="AG2" i="16"/>
  <c r="AJ2" i="16"/>
  <c r="K2" i="16"/>
  <c r="AN2" i="16"/>
  <c r="D2" i="16"/>
  <c r="AM2" i="16"/>
  <c r="I2" i="16"/>
  <c r="AC2" i="16"/>
  <c r="Q2" i="16"/>
  <c r="V2" i="16"/>
  <c r="M2" i="16"/>
  <c r="AL2" i="16"/>
  <c r="N2" i="16"/>
  <c r="F2" i="16"/>
  <c r="W2" i="16"/>
  <c r="AO2" i="16"/>
  <c r="AK2" i="16"/>
  <c r="X2" i="16"/>
  <c r="E2" i="16"/>
  <c r="L2" i="16"/>
  <c r="H2" i="16"/>
  <c r="P2" i="16"/>
  <c r="AI2" i="16"/>
  <c r="J2" i="16"/>
  <c r="Y2" i="16"/>
  <c r="AP2" i="16"/>
  <c r="O2" i="16"/>
  <c r="AB2" i="16"/>
  <c r="AD36" i="165" l="1"/>
  <c r="AG38" i="165" s="1"/>
  <c r="AH38" i="165" s="1"/>
  <c r="Y36" i="165"/>
  <c r="Z10" i="165"/>
  <c r="U12" i="164"/>
  <c r="Z12" i="164" s="1"/>
  <c r="AA12" i="164" s="1"/>
  <c r="AH12" i="164" s="1"/>
  <c r="U31" i="164"/>
  <c r="U18" i="164"/>
  <c r="Z18" i="164" s="1"/>
  <c r="AA18" i="164" s="1"/>
  <c r="AH18" i="164" s="1"/>
  <c r="U27" i="164"/>
  <c r="Z27" i="164" s="1"/>
  <c r="AA27" i="164" s="1"/>
  <c r="AH27" i="164" s="1"/>
  <c r="U26" i="164"/>
  <c r="T35" i="164"/>
  <c r="U23" i="164"/>
  <c r="Z23" i="164" s="1"/>
  <c r="AA23" i="164" s="1"/>
  <c r="AH23" i="164" s="1"/>
  <c r="U13" i="164"/>
  <c r="Z11" i="164"/>
  <c r="AA11" i="164" s="1"/>
  <c r="AH11" i="164" s="1"/>
  <c r="Z31" i="164"/>
  <c r="AA31" i="164" s="1"/>
  <c r="AH31" i="164" s="1"/>
  <c r="AH16" i="164"/>
  <c r="AD16" i="164"/>
  <c r="AH22" i="164"/>
  <c r="AD22" i="164"/>
  <c r="U29" i="164"/>
  <c r="U20" i="164"/>
  <c r="U30" i="164"/>
  <c r="U15" i="164"/>
  <c r="AF31" i="164"/>
  <c r="AF29" i="164"/>
  <c r="AF25" i="164"/>
  <c r="AF23" i="164"/>
  <c r="AF34" i="164"/>
  <c r="AF26" i="164"/>
  <c r="AF21" i="164"/>
  <c r="AF19" i="164"/>
  <c r="AF17" i="164"/>
  <c r="AF14" i="164"/>
  <c r="AF12" i="164"/>
  <c r="AF30" i="164"/>
  <c r="AF27" i="164"/>
  <c r="AF24" i="164"/>
  <c r="AF22" i="164"/>
  <c r="AF18" i="164"/>
  <c r="AF28" i="164"/>
  <c r="AF20" i="164"/>
  <c r="AF13" i="164"/>
  <c r="AF11" i="164"/>
  <c r="AF33" i="164"/>
  <c r="AF15" i="164"/>
  <c r="AF10" i="164"/>
  <c r="AG26" i="164"/>
  <c r="X26" i="164"/>
  <c r="Y26" i="164" s="1"/>
  <c r="U19" i="164"/>
  <c r="AE35" i="164"/>
  <c r="R35" i="164"/>
  <c r="U10" i="164"/>
  <c r="U28" i="164"/>
  <c r="Z14" i="164"/>
  <c r="AA14" i="164" s="1"/>
  <c r="AH14" i="164" s="1"/>
  <c r="U25" i="164"/>
  <c r="S35" i="164"/>
  <c r="U17" i="164"/>
  <c r="U24" i="164"/>
  <c r="U21" i="164"/>
  <c r="M35" i="164"/>
  <c r="Q10" i="164"/>
  <c r="C24" i="16"/>
  <c r="C21" i="16"/>
  <c r="C20" i="16"/>
  <c r="B24" i="16"/>
  <c r="Z26" i="164" l="1"/>
  <c r="AA26" i="164" s="1"/>
  <c r="AD26" i="164" s="1"/>
  <c r="AD38" i="165"/>
  <c r="AD42" i="165" s="1"/>
  <c r="Z36" i="165"/>
  <c r="AA10" i="165"/>
  <c r="AD12" i="164"/>
  <c r="AD31" i="164"/>
  <c r="AD27" i="164"/>
  <c r="Z13" i="164"/>
  <c r="AA13" i="164" s="1"/>
  <c r="AH13" i="164" s="1"/>
  <c r="AD11" i="164"/>
  <c r="AD18" i="164"/>
  <c r="AD23" i="164"/>
  <c r="Q35" i="164"/>
  <c r="AG10" i="164"/>
  <c r="AG35" i="164" s="1"/>
  <c r="AD10" i="164"/>
  <c r="X10" i="164"/>
  <c r="Z17" i="164"/>
  <c r="AA17" i="164" s="1"/>
  <c r="AH17" i="164" s="1"/>
  <c r="Z29" i="164"/>
  <c r="AA29" i="164" s="1"/>
  <c r="AH29" i="164" s="1"/>
  <c r="Z28" i="164"/>
  <c r="AA28" i="164" s="1"/>
  <c r="AH28" i="164" s="1"/>
  <c r="Z30" i="164"/>
  <c r="AA30" i="164" s="1"/>
  <c r="AH30" i="164" s="1"/>
  <c r="Z21" i="164"/>
  <c r="AA21" i="164" s="1"/>
  <c r="AH21" i="164" s="1"/>
  <c r="Z25" i="164"/>
  <c r="AA25" i="164" s="1"/>
  <c r="AH25" i="164" s="1"/>
  <c r="U35" i="164"/>
  <c r="Z19" i="164"/>
  <c r="AA19" i="164" s="1"/>
  <c r="AH19" i="164" s="1"/>
  <c r="Z15" i="164"/>
  <c r="AA15" i="164" s="1"/>
  <c r="AH15" i="164" s="1"/>
  <c r="Z20" i="164"/>
  <c r="AA20" i="164" s="1"/>
  <c r="AH20" i="164" s="1"/>
  <c r="Z24" i="164"/>
  <c r="AA24" i="164" s="1"/>
  <c r="AH24" i="164" s="1"/>
  <c r="AF35" i="164"/>
  <c r="AD14" i="164"/>
  <c r="J31" i="163"/>
  <c r="K31" i="163" s="1"/>
  <c r="M31" i="163" s="1"/>
  <c r="Q31" i="163" s="1"/>
  <c r="J30" i="163"/>
  <c r="J29" i="163"/>
  <c r="K29" i="163" s="1"/>
  <c r="J27" i="163"/>
  <c r="K27" i="163" s="1"/>
  <c r="M27" i="163" s="1"/>
  <c r="Q27" i="163" s="1"/>
  <c r="J28" i="163"/>
  <c r="K28" i="163" s="1"/>
  <c r="J26" i="163"/>
  <c r="K26" i="163" s="1"/>
  <c r="J25" i="163"/>
  <c r="K25" i="163" s="1"/>
  <c r="M25" i="163" s="1"/>
  <c r="Q25" i="163" s="1"/>
  <c r="J24" i="163"/>
  <c r="K24" i="163" s="1"/>
  <c r="M24" i="163" s="1"/>
  <c r="Q24" i="163" s="1"/>
  <c r="J23" i="163"/>
  <c r="K23" i="163" s="1"/>
  <c r="M23" i="163" s="1"/>
  <c r="Q23" i="163" s="1"/>
  <c r="J22" i="163"/>
  <c r="K22" i="163" s="1"/>
  <c r="M22" i="163" s="1"/>
  <c r="Q22" i="163" s="1"/>
  <c r="J21" i="163"/>
  <c r="K21" i="163" s="1"/>
  <c r="M21" i="163" s="1"/>
  <c r="Q21" i="163" s="1"/>
  <c r="J20" i="163"/>
  <c r="K20" i="163" s="1"/>
  <c r="M20" i="163" s="1"/>
  <c r="Q20" i="163" s="1"/>
  <c r="J19" i="163"/>
  <c r="K19" i="163" s="1"/>
  <c r="M19" i="163" s="1"/>
  <c r="Q19" i="163" s="1"/>
  <c r="J18" i="163"/>
  <c r="J17" i="163"/>
  <c r="K17" i="163" s="1"/>
  <c r="M17" i="163" s="1"/>
  <c r="Q17" i="163" s="1"/>
  <c r="J16" i="163"/>
  <c r="M16" i="163" s="1"/>
  <c r="Q16" i="163" s="1"/>
  <c r="J15" i="163"/>
  <c r="K15" i="163" s="1"/>
  <c r="M15" i="163" s="1"/>
  <c r="Q15" i="163" s="1"/>
  <c r="J14" i="163"/>
  <c r="K14" i="163" s="1"/>
  <c r="M14" i="163" s="1"/>
  <c r="Q14" i="163" s="1"/>
  <c r="J13" i="163"/>
  <c r="K13" i="163" s="1"/>
  <c r="M13" i="163" s="1"/>
  <c r="Q13" i="163" s="1"/>
  <c r="J12" i="163"/>
  <c r="K12" i="163" s="1"/>
  <c r="M12" i="163" s="1"/>
  <c r="Q12" i="163" s="1"/>
  <c r="J11" i="163"/>
  <c r="K11" i="163" s="1"/>
  <c r="M11" i="163" s="1"/>
  <c r="Q11" i="163" s="1"/>
  <c r="AC35" i="163"/>
  <c r="AB35" i="163"/>
  <c r="V35" i="163"/>
  <c r="P35" i="163"/>
  <c r="O35" i="163"/>
  <c r="G35" i="163"/>
  <c r="Q33" i="163"/>
  <c r="AG33" i="163" s="1"/>
  <c r="L29" i="163"/>
  <c r="L27" i="163"/>
  <c r="L28" i="163"/>
  <c r="L26" i="163"/>
  <c r="L12" i="163"/>
  <c r="J10" i="163"/>
  <c r="K10" i="163" s="1"/>
  <c r="AE9" i="163"/>
  <c r="T9" i="163"/>
  <c r="S9" i="163"/>
  <c r="R9" i="163"/>
  <c r="AH26" i="164" l="1"/>
  <c r="AA36" i="165"/>
  <c r="AH10" i="165"/>
  <c r="AH36" i="165" s="1"/>
  <c r="AD13" i="164"/>
  <c r="AD17" i="164"/>
  <c r="AD20" i="164"/>
  <c r="AD19" i="164"/>
  <c r="AD25" i="164"/>
  <c r="AD21" i="164"/>
  <c r="AD29" i="164"/>
  <c r="AD28" i="164"/>
  <c r="AD38" i="164"/>
  <c r="X35" i="164"/>
  <c r="Y10" i="164"/>
  <c r="AD24" i="164"/>
  <c r="AD15" i="164"/>
  <c r="AD30" i="164"/>
  <c r="AG16" i="163"/>
  <c r="X16" i="163"/>
  <c r="Y16" i="163" s="1"/>
  <c r="AG20" i="163"/>
  <c r="X20" i="163"/>
  <c r="Y20" i="163" s="1"/>
  <c r="AE29" i="163"/>
  <c r="AE25" i="163"/>
  <c r="AE19" i="163"/>
  <c r="AE12" i="163"/>
  <c r="AE28" i="163"/>
  <c r="AE30" i="163"/>
  <c r="AE26" i="163"/>
  <c r="AE22" i="163"/>
  <c r="AE17" i="163"/>
  <c r="AE13" i="163"/>
  <c r="AE24" i="163"/>
  <c r="AE11" i="163"/>
  <c r="AE31" i="163"/>
  <c r="AE27" i="163"/>
  <c r="AE23" i="163"/>
  <c r="AE20" i="163"/>
  <c r="AE18" i="163"/>
  <c r="AE14" i="163"/>
  <c r="AE10" i="163"/>
  <c r="AE21" i="163"/>
  <c r="AE15" i="163"/>
  <c r="AG13" i="163"/>
  <c r="X13" i="163"/>
  <c r="Y13" i="163" s="1"/>
  <c r="AG17" i="163"/>
  <c r="X17" i="163"/>
  <c r="Y17" i="163" s="1"/>
  <c r="AG21" i="163"/>
  <c r="X21" i="163"/>
  <c r="Y21" i="163" s="1"/>
  <c r="X25" i="163"/>
  <c r="Y25" i="163" s="1"/>
  <c r="AG25" i="163"/>
  <c r="AG27" i="163"/>
  <c r="X27" i="163"/>
  <c r="Y27" i="163" s="1"/>
  <c r="R28" i="163"/>
  <c r="R24" i="163"/>
  <c r="R19" i="163"/>
  <c r="R15" i="163"/>
  <c r="R11" i="163"/>
  <c r="R29" i="163"/>
  <c r="R25" i="163"/>
  <c r="R20" i="163"/>
  <c r="R12" i="163"/>
  <c r="R30" i="163"/>
  <c r="R26" i="163"/>
  <c r="R21" i="163"/>
  <c r="R17" i="163"/>
  <c r="R13" i="163"/>
  <c r="R23" i="163"/>
  <c r="R10" i="163"/>
  <c r="R27" i="163"/>
  <c r="R31" i="163"/>
  <c r="R14" i="163"/>
  <c r="R18" i="163"/>
  <c r="AG14" i="163"/>
  <c r="X14" i="163"/>
  <c r="Y14" i="163" s="1"/>
  <c r="K18" i="163"/>
  <c r="AG22" i="163"/>
  <c r="X22" i="163"/>
  <c r="Y22" i="163" s="1"/>
  <c r="Z22" i="163" s="1"/>
  <c r="T30" i="163"/>
  <c r="T26" i="163"/>
  <c r="T21" i="163"/>
  <c r="T17" i="163"/>
  <c r="T13" i="163"/>
  <c r="T31" i="163"/>
  <c r="T27" i="163"/>
  <c r="T23" i="163"/>
  <c r="T18" i="163"/>
  <c r="T14" i="163"/>
  <c r="T10" i="163"/>
  <c r="T28" i="163"/>
  <c r="T24" i="163"/>
  <c r="T19" i="163"/>
  <c r="T15" i="163"/>
  <c r="T11" i="163"/>
  <c r="T29" i="163"/>
  <c r="T20" i="163"/>
  <c r="T12" i="163"/>
  <c r="T25" i="163"/>
  <c r="X12" i="163"/>
  <c r="Y12" i="163" s="1"/>
  <c r="AG12" i="163"/>
  <c r="AG24" i="163"/>
  <c r="X24" i="163"/>
  <c r="Y24" i="163" s="1"/>
  <c r="S29" i="163"/>
  <c r="S25" i="163"/>
  <c r="S20" i="163"/>
  <c r="S12" i="163"/>
  <c r="S30" i="163"/>
  <c r="S26" i="163"/>
  <c r="S21" i="163"/>
  <c r="S17" i="163"/>
  <c r="S13" i="163"/>
  <c r="S31" i="163"/>
  <c r="S27" i="163"/>
  <c r="S23" i="163"/>
  <c r="S18" i="163"/>
  <c r="S14" i="163"/>
  <c r="S10" i="163"/>
  <c r="S28" i="163"/>
  <c r="S11" i="163"/>
  <c r="S15" i="163"/>
  <c r="S24" i="163"/>
  <c r="S19" i="163"/>
  <c r="X11" i="163"/>
  <c r="Y11" i="163" s="1"/>
  <c r="AG11" i="163"/>
  <c r="X15" i="163"/>
  <c r="Y15" i="163" s="1"/>
  <c r="AG15" i="163"/>
  <c r="X19" i="163"/>
  <c r="Y19" i="163" s="1"/>
  <c r="AG19" i="163"/>
  <c r="AG23" i="163"/>
  <c r="X23" i="163"/>
  <c r="Y23" i="163" s="1"/>
  <c r="AG31" i="163"/>
  <c r="X31" i="163"/>
  <c r="Y31" i="163" s="1"/>
  <c r="M29" i="163"/>
  <c r="Q29" i="163" s="1"/>
  <c r="M26" i="163"/>
  <c r="Q26" i="163" s="1"/>
  <c r="K30" i="163"/>
  <c r="M30" i="163" s="1"/>
  <c r="Q30" i="163" s="1"/>
  <c r="M28" i="163"/>
  <c r="Q28" i="163" s="1"/>
  <c r="S34" i="163"/>
  <c r="N35" i="163"/>
  <c r="R33" i="163"/>
  <c r="AD33" i="163"/>
  <c r="M10" i="163"/>
  <c r="AE34" i="163"/>
  <c r="AE33" i="163"/>
  <c r="AF9" i="163"/>
  <c r="T33" i="163"/>
  <c r="T34" i="163"/>
  <c r="W35" i="163"/>
  <c r="S33" i="163"/>
  <c r="L35" i="163"/>
  <c r="R34" i="163"/>
  <c r="O42" i="160"/>
  <c r="T2" i="16"/>
  <c r="R2" i="16"/>
  <c r="S2" i="16"/>
  <c r="AE2" i="16"/>
  <c r="AD35" i="164" l="1"/>
  <c r="AG37" i="164" s="1"/>
  <c r="AH37" i="164" s="1"/>
  <c r="Y35" i="164"/>
  <c r="Z10" i="164"/>
  <c r="C19" i="16"/>
  <c r="C18" i="16"/>
  <c r="C17" i="16"/>
  <c r="AA22" i="163"/>
  <c r="AH22" i="163" s="1"/>
  <c r="U31" i="163"/>
  <c r="Z31" i="163" s="1"/>
  <c r="AA31" i="163" s="1"/>
  <c r="AH31" i="163" s="1"/>
  <c r="U19" i="163"/>
  <c r="AD22" i="163"/>
  <c r="U30" i="163"/>
  <c r="Z30" i="163" s="1"/>
  <c r="AA30" i="163" s="1"/>
  <c r="AH30" i="163" s="1"/>
  <c r="X30" i="163"/>
  <c r="Y30" i="163" s="1"/>
  <c r="AG30" i="163"/>
  <c r="M18" i="163"/>
  <c r="U27" i="163"/>
  <c r="U17" i="163"/>
  <c r="U12" i="163"/>
  <c r="U29" i="163"/>
  <c r="U24" i="163"/>
  <c r="AF30" i="163"/>
  <c r="AF26" i="163"/>
  <c r="AF22" i="163"/>
  <c r="AF17" i="163"/>
  <c r="AF13" i="163"/>
  <c r="AF19" i="163"/>
  <c r="AF12" i="163"/>
  <c r="AF31" i="163"/>
  <c r="AF27" i="163"/>
  <c r="AF23" i="163"/>
  <c r="AF20" i="163"/>
  <c r="AF18" i="163"/>
  <c r="AF14" i="163"/>
  <c r="AF10" i="163"/>
  <c r="AF29" i="163"/>
  <c r="AF28" i="163"/>
  <c r="AF24" i="163"/>
  <c r="AF21" i="163"/>
  <c r="AF15" i="163"/>
  <c r="AF11" i="163"/>
  <c r="AF25" i="163"/>
  <c r="U13" i="163"/>
  <c r="U25" i="163"/>
  <c r="X26" i="163"/>
  <c r="Y26" i="163" s="1"/>
  <c r="AG26" i="163"/>
  <c r="Z19" i="163"/>
  <c r="AA19" i="163" s="1"/>
  <c r="U18" i="163"/>
  <c r="U21" i="163"/>
  <c r="Z21" i="163" s="1"/>
  <c r="AA21" i="163" s="1"/>
  <c r="AH21" i="163" s="1"/>
  <c r="U16" i="163"/>
  <c r="U11" i="163"/>
  <c r="U28" i="163"/>
  <c r="AG28" i="163"/>
  <c r="X28" i="163"/>
  <c r="Y28" i="163" s="1"/>
  <c r="X29" i="163"/>
  <c r="Y29" i="163" s="1"/>
  <c r="AG29" i="163"/>
  <c r="U14" i="163"/>
  <c r="U23" i="163"/>
  <c r="U26" i="163"/>
  <c r="U20" i="163"/>
  <c r="U15" i="163"/>
  <c r="K35" i="163"/>
  <c r="U10" i="163"/>
  <c r="S35" i="163"/>
  <c r="T35" i="163"/>
  <c r="M35" i="163"/>
  <c r="Q10" i="163"/>
  <c r="AF33" i="163"/>
  <c r="AF34" i="163"/>
  <c r="R35" i="163"/>
  <c r="AE35" i="163"/>
  <c r="C15" i="16"/>
  <c r="C14" i="16"/>
  <c r="X32" i="160"/>
  <c r="J32" i="160"/>
  <c r="K32" i="160" s="1"/>
  <c r="M32" i="160" s="1"/>
  <c r="R32" i="160" s="1"/>
  <c r="X31" i="160"/>
  <c r="K31" i="160"/>
  <c r="M31" i="160" s="1"/>
  <c r="R31" i="160" s="1"/>
  <c r="X30" i="160"/>
  <c r="J30" i="160"/>
  <c r="K30" i="160" s="1"/>
  <c r="M30" i="160" s="1"/>
  <c r="R30" i="160" s="1"/>
  <c r="X35" i="160"/>
  <c r="J35" i="160"/>
  <c r="K35" i="160" s="1"/>
  <c r="M35" i="160" s="1"/>
  <c r="R35" i="160" s="1"/>
  <c r="X36" i="160"/>
  <c r="J36" i="160"/>
  <c r="K36" i="160" s="1"/>
  <c r="M36" i="160" s="1"/>
  <c r="R36" i="160" s="1"/>
  <c r="X34" i="160"/>
  <c r="J34" i="160"/>
  <c r="K34" i="160" s="1"/>
  <c r="M34" i="160" s="1"/>
  <c r="R34" i="160" s="1"/>
  <c r="X33" i="160"/>
  <c r="J33" i="160"/>
  <c r="K33" i="160" s="1"/>
  <c r="M33" i="160" s="1"/>
  <c r="R33" i="160" s="1"/>
  <c r="N27" i="160"/>
  <c r="N26" i="160"/>
  <c r="N22" i="160"/>
  <c r="N21" i="160"/>
  <c r="N17" i="160"/>
  <c r="N10" i="160"/>
  <c r="AF2" i="16"/>
  <c r="U2" i="16"/>
  <c r="AD37" i="164" l="1"/>
  <c r="AD41" i="164" s="1"/>
  <c r="Z35" i="164"/>
  <c r="AA10" i="164"/>
  <c r="Z28" i="163"/>
  <c r="AA28" i="163" s="1"/>
  <c r="AD28" i="163" s="1"/>
  <c r="AD31" i="163"/>
  <c r="Z29" i="163"/>
  <c r="AA29" i="163" s="1"/>
  <c r="Z26" i="163"/>
  <c r="AA26" i="163" s="1"/>
  <c r="AH26" i="163" s="1"/>
  <c r="Z23" i="163"/>
  <c r="AA23" i="163" s="1"/>
  <c r="AH23" i="163" s="1"/>
  <c r="Z16" i="163"/>
  <c r="AA16" i="163" s="1"/>
  <c r="AH16" i="163" s="1"/>
  <c r="Z17" i="163"/>
  <c r="AA17" i="163" s="1"/>
  <c r="AH17" i="163" s="1"/>
  <c r="Z15" i="163"/>
  <c r="AA15" i="163" s="1"/>
  <c r="AH15" i="163" s="1"/>
  <c r="Z14" i="163"/>
  <c r="AA14" i="163" s="1"/>
  <c r="AH14" i="163" s="1"/>
  <c r="AD21" i="163"/>
  <c r="Z25" i="163"/>
  <c r="AA25" i="163" s="1"/>
  <c r="AH25" i="163" s="1"/>
  <c r="Z24" i="163"/>
  <c r="AA24" i="163" s="1"/>
  <c r="AH24" i="163" s="1"/>
  <c r="Z27" i="163"/>
  <c r="AA27" i="163" s="1"/>
  <c r="AH27" i="163" s="1"/>
  <c r="Z20" i="163"/>
  <c r="AA20" i="163" s="1"/>
  <c r="AH20" i="163" s="1"/>
  <c r="Z13" i="163"/>
  <c r="AA13" i="163" s="1"/>
  <c r="AH13" i="163" s="1"/>
  <c r="Q18" i="163"/>
  <c r="Q35" i="163" s="1"/>
  <c r="AD30" i="163"/>
  <c r="AG10" i="163"/>
  <c r="X10" i="163"/>
  <c r="Z11" i="163"/>
  <c r="AA11" i="163" s="1"/>
  <c r="AH11" i="163" s="1"/>
  <c r="AH19" i="163"/>
  <c r="AD19" i="163"/>
  <c r="Z12" i="163"/>
  <c r="AA12" i="163" s="1"/>
  <c r="AH12" i="163" s="1"/>
  <c r="AD10" i="163"/>
  <c r="U35" i="163"/>
  <c r="AF35" i="163"/>
  <c r="Y32" i="160"/>
  <c r="Z32" i="160" s="1"/>
  <c r="AH32" i="160"/>
  <c r="Y31" i="160"/>
  <c r="Z31" i="160" s="1"/>
  <c r="AH31" i="160"/>
  <c r="Y34" i="160"/>
  <c r="Z34" i="160" s="1"/>
  <c r="AH34" i="160"/>
  <c r="AH36" i="160"/>
  <c r="Y36" i="160"/>
  <c r="Z36" i="160" s="1"/>
  <c r="Y30" i="160"/>
  <c r="Z30" i="160" s="1"/>
  <c r="Y33" i="160"/>
  <c r="Z33" i="160" s="1"/>
  <c r="AH33" i="160"/>
  <c r="Y35" i="160"/>
  <c r="Z35" i="160" s="1"/>
  <c r="AH35" i="160"/>
  <c r="N15" i="160"/>
  <c r="AA2" i="16"/>
  <c r="Z2" i="16"/>
  <c r="AH28" i="163" l="1"/>
  <c r="AA35" i="164"/>
  <c r="AH10" i="164"/>
  <c r="AH35" i="164" s="1"/>
  <c r="AD29" i="163"/>
  <c r="AH29" i="163"/>
  <c r="C23" i="16"/>
  <c r="C22" i="16"/>
  <c r="AD11" i="163"/>
  <c r="AD14" i="163"/>
  <c r="AD25" i="163"/>
  <c r="AD13" i="163"/>
  <c r="AD20" i="163"/>
  <c r="AD24" i="163"/>
  <c r="AD12" i="163"/>
  <c r="AD38" i="163" s="1"/>
  <c r="AD17" i="163"/>
  <c r="AD23" i="163"/>
  <c r="X18" i="163"/>
  <c r="X35" i="163" s="1"/>
  <c r="AG18" i="163"/>
  <c r="AD27" i="163"/>
  <c r="AD15" i="163"/>
  <c r="AD16" i="163"/>
  <c r="AD26" i="163"/>
  <c r="Y10" i="163"/>
  <c r="Z10" i="163" s="1"/>
  <c r="AA10" i="163" s="1"/>
  <c r="N29" i="160"/>
  <c r="N28" i="160"/>
  <c r="N25" i="160"/>
  <c r="N24" i="160"/>
  <c r="N23" i="160"/>
  <c r="N20" i="160"/>
  <c r="N19" i="160"/>
  <c r="N18" i="160"/>
  <c r="N16" i="160"/>
  <c r="N14" i="160"/>
  <c r="N13" i="160"/>
  <c r="N12" i="160"/>
  <c r="N11" i="160"/>
  <c r="J39" i="160"/>
  <c r="J38" i="160"/>
  <c r="J37" i="160"/>
  <c r="J29" i="160"/>
  <c r="J28" i="160"/>
  <c r="J27" i="160"/>
  <c r="J26" i="160"/>
  <c r="J25" i="160"/>
  <c r="J24" i="160"/>
  <c r="J23" i="160"/>
  <c r="J22" i="160"/>
  <c r="J21" i="160"/>
  <c r="J20" i="160"/>
  <c r="J19" i="160"/>
  <c r="J18" i="160"/>
  <c r="J17" i="160"/>
  <c r="J16" i="160"/>
  <c r="J15" i="160"/>
  <c r="J14" i="160"/>
  <c r="J13" i="160"/>
  <c r="J12" i="160"/>
  <c r="J11" i="160"/>
  <c r="AH2" i="16"/>
  <c r="AD2" i="16"/>
  <c r="Y18" i="163" l="1"/>
  <c r="AG35" i="163"/>
  <c r="Y35" i="163"/>
  <c r="AC36" i="162"/>
  <c r="AB36" i="162"/>
  <c r="V36" i="162"/>
  <c r="P36" i="162"/>
  <c r="O36" i="162"/>
  <c r="N36" i="162"/>
  <c r="G36" i="162"/>
  <c r="AD34" i="162"/>
  <c r="T34" i="162"/>
  <c r="Q34" i="162"/>
  <c r="AG34" i="162" s="1"/>
  <c r="W33" i="162"/>
  <c r="T33" i="162"/>
  <c r="K33" i="162"/>
  <c r="M33" i="162" s="1"/>
  <c r="Q33" i="162" s="1"/>
  <c r="J33" i="162"/>
  <c r="W32" i="162"/>
  <c r="M32" i="162"/>
  <c r="Q32" i="162" s="1"/>
  <c r="J32" i="162"/>
  <c r="W31" i="162"/>
  <c r="S31" i="162"/>
  <c r="K31" i="162"/>
  <c r="M31" i="162" s="1"/>
  <c r="Q31" i="162" s="1"/>
  <c r="J31" i="162"/>
  <c r="W30" i="162"/>
  <c r="M30" i="162"/>
  <c r="Q30" i="162" s="1"/>
  <c r="K30" i="162"/>
  <c r="J30" i="162"/>
  <c r="W29" i="162"/>
  <c r="L29" i="162"/>
  <c r="K29" i="162"/>
  <c r="M29" i="162" s="1"/>
  <c r="Q29" i="162" s="1"/>
  <c r="J29" i="162"/>
  <c r="W28" i="162"/>
  <c r="L28" i="162"/>
  <c r="J28" i="162"/>
  <c r="K28" i="162" s="1"/>
  <c r="M28" i="162" s="1"/>
  <c r="Q28" i="162" s="1"/>
  <c r="W27" i="162"/>
  <c r="L27" i="162"/>
  <c r="J27" i="162"/>
  <c r="K27" i="162" s="1"/>
  <c r="M27" i="162" s="1"/>
  <c r="Q27" i="162" s="1"/>
  <c r="W26" i="162"/>
  <c r="M26" i="162"/>
  <c r="Q26" i="162" s="1"/>
  <c r="X26" i="162" s="1"/>
  <c r="Y26" i="162" s="1"/>
  <c r="L26" i="162"/>
  <c r="K26" i="162"/>
  <c r="J26" i="162"/>
  <c r="W25" i="162"/>
  <c r="L25" i="162"/>
  <c r="K25" i="162"/>
  <c r="J25" i="162"/>
  <c r="W24" i="162"/>
  <c r="J24" i="162"/>
  <c r="K24" i="162" s="1"/>
  <c r="M24" i="162" s="1"/>
  <c r="Q24" i="162" s="1"/>
  <c r="W23" i="162"/>
  <c r="M23" i="162"/>
  <c r="Q23" i="162" s="1"/>
  <c r="K23" i="162"/>
  <c r="J23" i="162"/>
  <c r="W22" i="162"/>
  <c r="J22" i="162"/>
  <c r="K22" i="162" s="1"/>
  <c r="M22" i="162" s="1"/>
  <c r="Q22" i="162" s="1"/>
  <c r="W21" i="162"/>
  <c r="M21" i="162"/>
  <c r="Q21" i="162" s="1"/>
  <c r="K21" i="162"/>
  <c r="J21" i="162"/>
  <c r="W20" i="162"/>
  <c r="J20" i="162"/>
  <c r="K20" i="162" s="1"/>
  <c r="M20" i="162" s="1"/>
  <c r="Q20" i="162" s="1"/>
  <c r="W19" i="162"/>
  <c r="M19" i="162"/>
  <c r="Q19" i="162" s="1"/>
  <c r="K19" i="162"/>
  <c r="J19" i="162"/>
  <c r="W18" i="162"/>
  <c r="Q18" i="162"/>
  <c r="AG18" i="162" s="1"/>
  <c r="M18" i="162"/>
  <c r="J18" i="162"/>
  <c r="K18" i="162" s="1"/>
  <c r="W17" i="162"/>
  <c r="S17" i="162"/>
  <c r="J17" i="162"/>
  <c r="K17" i="162" s="1"/>
  <c r="M17" i="162" s="1"/>
  <c r="Q17" i="162" s="1"/>
  <c r="W16" i="162"/>
  <c r="M16" i="162"/>
  <c r="Q16" i="162" s="1"/>
  <c r="J16" i="162"/>
  <c r="K16" i="162" s="1"/>
  <c r="AE15" i="162"/>
  <c r="W15" i="162"/>
  <c r="T15" i="162"/>
  <c r="M15" i="162"/>
  <c r="Q15" i="162" s="1"/>
  <c r="K15" i="162"/>
  <c r="J15" i="162"/>
  <c r="W14" i="162"/>
  <c r="U14" i="162"/>
  <c r="Q14" i="162"/>
  <c r="M14" i="162"/>
  <c r="J14" i="162"/>
  <c r="W13" i="162"/>
  <c r="J13" i="162"/>
  <c r="K13" i="162" s="1"/>
  <c r="M13" i="162" s="1"/>
  <c r="Q13" i="162" s="1"/>
  <c r="AE12" i="162"/>
  <c r="W12" i="162"/>
  <c r="T12" i="162"/>
  <c r="L12" i="162"/>
  <c r="L36" i="162" s="1"/>
  <c r="J12" i="162"/>
  <c r="K12" i="162" s="1"/>
  <c r="M12" i="162" s="1"/>
  <c r="Q12" i="162" s="1"/>
  <c r="W11" i="162"/>
  <c r="T11" i="162"/>
  <c r="S11" i="162"/>
  <c r="K11" i="162"/>
  <c r="M11" i="162" s="1"/>
  <c r="Q11" i="162" s="1"/>
  <c r="J11" i="162"/>
  <c r="W10" i="162"/>
  <c r="T10" i="162"/>
  <c r="J10" i="162"/>
  <c r="K10" i="162" s="1"/>
  <c r="AE9" i="162"/>
  <c r="AE31" i="162" s="1"/>
  <c r="T9" i="162"/>
  <c r="T31" i="162" s="1"/>
  <c r="S9" i="162"/>
  <c r="S32" i="162" s="1"/>
  <c r="R9" i="162"/>
  <c r="R25" i="162" s="1"/>
  <c r="Z18" i="163" l="1"/>
  <c r="Z35" i="163" s="1"/>
  <c r="X22" i="162"/>
  <c r="AG22" i="162"/>
  <c r="X28" i="162"/>
  <c r="AG28" i="162"/>
  <c r="X31" i="162"/>
  <c r="Y31" i="162" s="1"/>
  <c r="X16" i="162"/>
  <c r="AG16" i="162"/>
  <c r="Y18" i="162"/>
  <c r="X27" i="162"/>
  <c r="Y27" i="162" s="1"/>
  <c r="AG27" i="162"/>
  <c r="X30" i="162"/>
  <c r="Y30" i="162" s="1"/>
  <c r="Y13" i="162"/>
  <c r="K36" i="162"/>
  <c r="M10" i="162"/>
  <c r="AG11" i="162"/>
  <c r="X11" i="162"/>
  <c r="Y11" i="162" s="1"/>
  <c r="X12" i="162"/>
  <c r="Y12" i="162" s="1"/>
  <c r="AG12" i="162"/>
  <c r="Y16" i="162"/>
  <c r="X20" i="162"/>
  <c r="AG20" i="162"/>
  <c r="X24" i="162"/>
  <c r="AG24" i="162"/>
  <c r="X15" i="162"/>
  <c r="Y15" i="162" s="1"/>
  <c r="AG15" i="162"/>
  <c r="X13" i="162"/>
  <c r="AG13" i="162"/>
  <c r="X17" i="162"/>
  <c r="Y17" i="162" s="1"/>
  <c r="AG17" i="162"/>
  <c r="AG33" i="162"/>
  <c r="X33" i="162"/>
  <c r="Y33" i="162" s="1"/>
  <c r="AF9" i="162"/>
  <c r="AG14" i="162"/>
  <c r="X19" i="162"/>
  <c r="Y19" i="162" s="1"/>
  <c r="AG21" i="162"/>
  <c r="AG23" i="162"/>
  <c r="AE11" i="162"/>
  <c r="S13" i="162"/>
  <c r="AE16" i="162"/>
  <c r="T17" i="162"/>
  <c r="R18" i="162"/>
  <c r="S19" i="162"/>
  <c r="Y20" i="162"/>
  <c r="S21" i="162"/>
  <c r="Y22" i="162"/>
  <c r="S23" i="162"/>
  <c r="Y24" i="162"/>
  <c r="S26" i="162"/>
  <c r="T27" i="162"/>
  <c r="X29" i="162"/>
  <c r="AE33" i="162"/>
  <c r="R33" i="162"/>
  <c r="R32" i="162"/>
  <c r="R31" i="162"/>
  <c r="U31" i="162" s="1"/>
  <c r="Z31" i="162" s="1"/>
  <c r="AA31" i="162" s="1"/>
  <c r="AH31" i="162" s="1"/>
  <c r="R26" i="162"/>
  <c r="R23" i="162"/>
  <c r="R21" i="162"/>
  <c r="R19" i="162"/>
  <c r="R34" i="162"/>
  <c r="R30" i="162"/>
  <c r="R27" i="162"/>
  <c r="X18" i="162"/>
  <c r="X21" i="162"/>
  <c r="Y21" i="162" s="1"/>
  <c r="X23" i="162"/>
  <c r="Y23" i="162" s="1"/>
  <c r="AG26" i="162"/>
  <c r="R28" i="162"/>
  <c r="U28" i="162" s="1"/>
  <c r="Y29" i="162"/>
  <c r="AG29" i="162"/>
  <c r="X32" i="162"/>
  <c r="Y32" i="162" s="1"/>
  <c r="AE35" i="162"/>
  <c r="S34" i="162"/>
  <c r="S30" i="162"/>
  <c r="S27" i="162"/>
  <c r="S35" i="162"/>
  <c r="S28" i="162"/>
  <c r="S24" i="162"/>
  <c r="S22" i="162"/>
  <c r="S20" i="162"/>
  <c r="S18" i="162"/>
  <c r="S16" i="162"/>
  <c r="R10" i="162"/>
  <c r="W36" i="162"/>
  <c r="T35" i="162"/>
  <c r="T28" i="162"/>
  <c r="T24" i="162"/>
  <c r="T22" i="162"/>
  <c r="T20" i="162"/>
  <c r="T29" i="162"/>
  <c r="T25" i="162"/>
  <c r="S10" i="162"/>
  <c r="R12" i="162"/>
  <c r="T13" i="162"/>
  <c r="T36" i="162" s="1"/>
  <c r="AE13" i="162"/>
  <c r="R15" i="162"/>
  <c r="U15" i="162" s="1"/>
  <c r="Z15" i="162" s="1"/>
  <c r="AA15" i="162" s="1"/>
  <c r="AH15" i="162" s="1"/>
  <c r="R16" i="162"/>
  <c r="T18" i="162"/>
  <c r="T19" i="162"/>
  <c r="T21" i="162"/>
  <c r="T23" i="162"/>
  <c r="S25" i="162"/>
  <c r="U25" i="162" s="1"/>
  <c r="T26" i="162"/>
  <c r="AE27" i="162"/>
  <c r="Y28" i="162"/>
  <c r="R29" i="162"/>
  <c r="T30" i="162"/>
  <c r="T32" i="162"/>
  <c r="R13" i="162"/>
  <c r="U13" i="162" s="1"/>
  <c r="Z13" i="162" s="1"/>
  <c r="AA13" i="162" s="1"/>
  <c r="AG19" i="162"/>
  <c r="AE28" i="162"/>
  <c r="AE24" i="162"/>
  <c r="AE22" i="162"/>
  <c r="AE20" i="162"/>
  <c r="AE18" i="162"/>
  <c r="AE34" i="162"/>
  <c r="AE29" i="162"/>
  <c r="AE25" i="162"/>
  <c r="AE10" i="162"/>
  <c r="R11" i="162"/>
  <c r="U11" i="162" s="1"/>
  <c r="S12" i="162"/>
  <c r="X14" i="162"/>
  <c r="Y14" i="162" s="1"/>
  <c r="Z14" i="162" s="1"/>
  <c r="AA14" i="162" s="1"/>
  <c r="S15" i="162"/>
  <c r="T16" i="162"/>
  <c r="R17" i="162"/>
  <c r="AE17" i="162"/>
  <c r="AE19" i="162"/>
  <c r="R20" i="162"/>
  <c r="U20" i="162" s="1"/>
  <c r="AE21" i="162"/>
  <c r="R22" i="162"/>
  <c r="AE23" i="162"/>
  <c r="R24" i="162"/>
  <c r="U24" i="162" s="1"/>
  <c r="M25" i="162"/>
  <c r="Q25" i="162" s="1"/>
  <c r="AE26" i="162"/>
  <c r="S29" i="162"/>
  <c r="AE30" i="162"/>
  <c r="AE32" i="162"/>
  <c r="S33" i="162"/>
  <c r="R35" i="162"/>
  <c r="AA18" i="163" l="1"/>
  <c r="AA35" i="163" s="1"/>
  <c r="AH10" i="163"/>
  <c r="AH14" i="162"/>
  <c r="AD14" i="162"/>
  <c r="AH13" i="162"/>
  <c r="AD13" i="162"/>
  <c r="AD28" i="162"/>
  <c r="U33" i="162"/>
  <c r="AF34" i="162"/>
  <c r="AF29" i="162"/>
  <c r="AF25" i="162"/>
  <c r="AF33" i="162"/>
  <c r="AF32" i="162"/>
  <c r="AF31" i="162"/>
  <c r="AF26" i="162"/>
  <c r="AF23" i="162"/>
  <c r="AF21" i="162"/>
  <c r="AF19" i="162"/>
  <c r="AF17" i="162"/>
  <c r="AF15" i="162"/>
  <c r="AF27" i="162"/>
  <c r="AF13" i="162"/>
  <c r="AF22" i="162"/>
  <c r="AF20" i="162"/>
  <c r="AF16" i="162"/>
  <c r="AF11" i="162"/>
  <c r="AF24" i="162"/>
  <c r="AF18" i="162"/>
  <c r="AF35" i="162"/>
  <c r="AF28" i="162"/>
  <c r="AF12" i="162"/>
  <c r="AF30" i="162"/>
  <c r="AF10" i="162"/>
  <c r="AE36" i="162"/>
  <c r="U29" i="162"/>
  <c r="U26" i="162"/>
  <c r="AD31" i="162"/>
  <c r="Z28" i="162"/>
  <c r="AA28" i="162" s="1"/>
  <c r="AH28" i="162" s="1"/>
  <c r="R36" i="162"/>
  <c r="U10" i="162"/>
  <c r="U30" i="162"/>
  <c r="U23" i="162"/>
  <c r="Z24" i="162"/>
  <c r="AA24" i="162" s="1"/>
  <c r="AH24" i="162" s="1"/>
  <c r="Z20" i="162"/>
  <c r="AA20" i="162" s="1"/>
  <c r="AH20" i="162" s="1"/>
  <c r="Q10" i="162"/>
  <c r="M36" i="162"/>
  <c r="U22" i="162"/>
  <c r="U16" i="162"/>
  <c r="U12" i="162"/>
  <c r="U19" i="162"/>
  <c r="AD15" i="162"/>
  <c r="AG25" i="162"/>
  <c r="X25" i="162"/>
  <c r="Y25" i="162" s="1"/>
  <c r="Z25" i="162" s="1"/>
  <c r="AA25" i="162" s="1"/>
  <c r="U17" i="162"/>
  <c r="S36" i="162"/>
  <c r="U27" i="162"/>
  <c r="U21" i="162"/>
  <c r="U32" i="162"/>
  <c r="U18" i="162"/>
  <c r="AH18" i="163" l="1"/>
  <c r="AD18" i="163"/>
  <c r="AH25" i="162"/>
  <c r="AD25" i="162"/>
  <c r="Z29" i="162"/>
  <c r="AA29" i="162" s="1"/>
  <c r="AH29" i="162" s="1"/>
  <c r="Z23" i="162"/>
  <c r="AA23" i="162" s="1"/>
  <c r="AH23" i="162" s="1"/>
  <c r="AD24" i="162"/>
  <c r="Z12" i="162"/>
  <c r="AA12" i="162" s="1"/>
  <c r="AH12" i="162" s="1"/>
  <c r="Z21" i="162"/>
  <c r="AA21" i="162" s="1"/>
  <c r="AH21" i="162" s="1"/>
  <c r="AD21" i="162"/>
  <c r="Z22" i="162"/>
  <c r="AA22" i="162" s="1"/>
  <c r="AH22" i="162" s="1"/>
  <c r="Z27" i="162"/>
  <c r="AA27" i="162" s="1"/>
  <c r="AH27" i="162" s="1"/>
  <c r="Z19" i="162"/>
  <c r="AA19" i="162" s="1"/>
  <c r="AH19" i="162" s="1"/>
  <c r="Z18" i="162"/>
  <c r="AA18" i="162" s="1"/>
  <c r="AH18" i="162" s="1"/>
  <c r="AD12" i="162"/>
  <c r="Z11" i="162"/>
  <c r="AA11" i="162" s="1"/>
  <c r="AD10" i="162"/>
  <c r="X10" i="162"/>
  <c r="AG10" i="162"/>
  <c r="AG36" i="162" s="1"/>
  <c r="Q36" i="162"/>
  <c r="AD30" i="162"/>
  <c r="Z30" i="162"/>
  <c r="AA30" i="162" s="1"/>
  <c r="AH30" i="162" s="1"/>
  <c r="AF36" i="162"/>
  <c r="Z32" i="162"/>
  <c r="AA32" i="162" s="1"/>
  <c r="AD32" i="162" s="1"/>
  <c r="Z17" i="162"/>
  <c r="AA17" i="162" s="1"/>
  <c r="AH17" i="162" s="1"/>
  <c r="Z16" i="162"/>
  <c r="AA16" i="162" s="1"/>
  <c r="AH16" i="162" s="1"/>
  <c r="U36" i="162"/>
  <c r="AD26" i="162"/>
  <c r="Z26" i="162"/>
  <c r="AA26" i="162" s="1"/>
  <c r="AH26" i="162" s="1"/>
  <c r="Z33" i="162"/>
  <c r="AA33" i="162" s="1"/>
  <c r="AH33" i="162" s="1"/>
  <c r="AD20" i="162"/>
  <c r="AD35" i="163" l="1"/>
  <c r="AH35" i="163"/>
  <c r="AH11" i="162"/>
  <c r="AD11" i="162"/>
  <c r="AD33" i="162"/>
  <c r="AD17" i="162"/>
  <c r="AD19" i="162"/>
  <c r="AD22" i="162"/>
  <c r="AD29" i="162"/>
  <c r="X36" i="162"/>
  <c r="Y10" i="162"/>
  <c r="AD16" i="162"/>
  <c r="AD39" i="162"/>
  <c r="AD36" i="162"/>
  <c r="AD18" i="162"/>
  <c r="AD27" i="162"/>
  <c r="AD23" i="162"/>
  <c r="AD37" i="163" l="1"/>
  <c r="AD41" i="163" s="1"/>
  <c r="AG37" i="163"/>
  <c r="AH37" i="163" s="1"/>
  <c r="AD38" i="162"/>
  <c r="AD42" i="162" s="1"/>
  <c r="AG38" i="162"/>
  <c r="AH38" i="162" s="1"/>
  <c r="Y36" i="162"/>
  <c r="Z10" i="162"/>
  <c r="AD42" i="160"/>
  <c r="AC42" i="160"/>
  <c r="W42" i="160"/>
  <c r="Q42" i="160"/>
  <c r="N42" i="160"/>
  <c r="G42" i="160"/>
  <c r="AH40" i="160"/>
  <c r="R40" i="160"/>
  <c r="AE40" i="160" s="1"/>
  <c r="X39" i="160"/>
  <c r="M39" i="160"/>
  <c r="X38" i="160"/>
  <c r="K38" i="160"/>
  <c r="M38" i="160" s="1"/>
  <c r="R38" i="160" s="1"/>
  <c r="X37" i="160"/>
  <c r="K37" i="160"/>
  <c r="M37" i="160" s="1"/>
  <c r="R37" i="160" s="1"/>
  <c r="X29" i="160"/>
  <c r="L29" i="160"/>
  <c r="K29" i="160"/>
  <c r="X28" i="160"/>
  <c r="L28" i="160"/>
  <c r="K28" i="160"/>
  <c r="X27" i="160"/>
  <c r="L27" i="160"/>
  <c r="K27" i="160"/>
  <c r="X26" i="160"/>
  <c r="P42" i="160"/>
  <c r="L26" i="160"/>
  <c r="K26" i="160"/>
  <c r="M26" i="160" s="1"/>
  <c r="R26" i="160" s="1"/>
  <c r="X25" i="160"/>
  <c r="L25" i="160"/>
  <c r="K25" i="160"/>
  <c r="X24" i="160"/>
  <c r="K24" i="160"/>
  <c r="M24" i="160" s="1"/>
  <c r="R24" i="160" s="1"/>
  <c r="X23" i="160"/>
  <c r="K23" i="160"/>
  <c r="M23" i="160" s="1"/>
  <c r="R23" i="160" s="1"/>
  <c r="X22" i="160"/>
  <c r="K22" i="160"/>
  <c r="M22" i="160" s="1"/>
  <c r="R22" i="160" s="1"/>
  <c r="X21" i="160"/>
  <c r="K21" i="160"/>
  <c r="M21" i="160" s="1"/>
  <c r="R21" i="160" s="1"/>
  <c r="X20" i="160"/>
  <c r="K20" i="160"/>
  <c r="M20" i="160" s="1"/>
  <c r="R20" i="160" s="1"/>
  <c r="X19" i="160"/>
  <c r="K19" i="160"/>
  <c r="M19" i="160" s="1"/>
  <c r="R19" i="160" s="1"/>
  <c r="X18" i="160"/>
  <c r="K18" i="160"/>
  <c r="M18" i="160" s="1"/>
  <c r="R18" i="160" s="1"/>
  <c r="X17" i="160"/>
  <c r="K17" i="160"/>
  <c r="M17" i="160" s="1"/>
  <c r="R17" i="160" s="1"/>
  <c r="X16" i="160"/>
  <c r="K16" i="160"/>
  <c r="M16" i="160" s="1"/>
  <c r="R16" i="160" s="1"/>
  <c r="X15" i="160"/>
  <c r="K15" i="160"/>
  <c r="M15" i="160" s="1"/>
  <c r="R15" i="160" s="1"/>
  <c r="X14" i="160"/>
  <c r="V14" i="160"/>
  <c r="M14" i="160"/>
  <c r="R14" i="160" s="1"/>
  <c r="X13" i="160"/>
  <c r="K13" i="160"/>
  <c r="M13" i="160" s="1"/>
  <c r="R13" i="160" s="1"/>
  <c r="X12" i="160"/>
  <c r="L12" i="160"/>
  <c r="K12" i="160"/>
  <c r="X11" i="160"/>
  <c r="K11" i="160"/>
  <c r="M11" i="160" s="1"/>
  <c r="R11" i="160" s="1"/>
  <c r="X10" i="160"/>
  <c r="J10" i="160"/>
  <c r="K10" i="160" s="1"/>
  <c r="AF9" i="160"/>
  <c r="U9" i="160"/>
  <c r="T9" i="160"/>
  <c r="T32" i="160" s="1"/>
  <c r="S9" i="160"/>
  <c r="S32" i="160" s="1"/>
  <c r="AF31" i="160" l="1"/>
  <c r="AF32" i="160"/>
  <c r="U31" i="160"/>
  <c r="U32" i="160"/>
  <c r="V32" i="160" s="1"/>
  <c r="T31" i="160"/>
  <c r="S25" i="160"/>
  <c r="S31" i="160"/>
  <c r="M27" i="160"/>
  <c r="R27" i="160" s="1"/>
  <c r="Y27" i="160" s="1"/>
  <c r="Z27" i="160" s="1"/>
  <c r="M28" i="160"/>
  <c r="R28" i="160" s="1"/>
  <c r="AH28" i="160" s="1"/>
  <c r="M12" i="160"/>
  <c r="R12" i="160" s="1"/>
  <c r="Y12" i="160" s="1"/>
  <c r="Z12" i="160" s="1"/>
  <c r="M25" i="160"/>
  <c r="R25" i="160" s="1"/>
  <c r="R39" i="160"/>
  <c r="L42" i="160"/>
  <c r="M29" i="160"/>
  <c r="R29" i="160" s="1"/>
  <c r="S30" i="160"/>
  <c r="S35" i="160"/>
  <c r="S33" i="160"/>
  <c r="S34" i="160"/>
  <c r="S36" i="160"/>
  <c r="S29" i="160"/>
  <c r="Y19" i="160"/>
  <c r="Z19" i="160" s="1"/>
  <c r="S26" i="160"/>
  <c r="Y38" i="160"/>
  <c r="Z38" i="160" s="1"/>
  <c r="T39" i="160"/>
  <c r="T33" i="160"/>
  <c r="T36" i="160"/>
  <c r="T35" i="160"/>
  <c r="T34" i="160"/>
  <c r="T30" i="160"/>
  <c r="T29" i="160"/>
  <c r="S10" i="160"/>
  <c r="S11" i="160"/>
  <c r="S12" i="160"/>
  <c r="T23" i="160"/>
  <c r="AH25" i="160"/>
  <c r="T38" i="160"/>
  <c r="AF35" i="160"/>
  <c r="AF36" i="160"/>
  <c r="AF34" i="160"/>
  <c r="AF30" i="160"/>
  <c r="AF33" i="160"/>
  <c r="AF29" i="160"/>
  <c r="AF28" i="160"/>
  <c r="AF37" i="160"/>
  <c r="AF41" i="160"/>
  <c r="Y23" i="160"/>
  <c r="Z23" i="160" s="1"/>
  <c r="U40" i="160"/>
  <c r="U35" i="160"/>
  <c r="U36" i="160"/>
  <c r="U34" i="160"/>
  <c r="U30" i="160"/>
  <c r="U33" i="160"/>
  <c r="U29" i="160"/>
  <c r="T10" i="160"/>
  <c r="Y14" i="160"/>
  <c r="S15" i="160"/>
  <c r="Y17" i="160"/>
  <c r="Z17" i="160" s="1"/>
  <c r="Z36" i="162"/>
  <c r="AA10" i="162"/>
  <c r="Y11" i="160"/>
  <c r="Z11" i="160" s="1"/>
  <c r="AH11" i="160"/>
  <c r="Y13" i="160"/>
  <c r="Z13" i="160" s="1"/>
  <c r="AH13" i="160"/>
  <c r="Y15" i="160"/>
  <c r="Z15" i="160" s="1"/>
  <c r="Y24" i="160"/>
  <c r="Z24" i="160" s="1"/>
  <c r="AH24" i="160"/>
  <c r="AF24" i="160"/>
  <c r="AF22" i="160"/>
  <c r="AF20" i="160"/>
  <c r="AF18" i="160"/>
  <c r="AF16" i="160"/>
  <c r="AF40" i="160"/>
  <c r="AF26" i="160"/>
  <c r="AF25" i="160"/>
  <c r="AF39" i="160"/>
  <c r="AF38" i="160"/>
  <c r="AF27" i="160"/>
  <c r="AF23" i="160"/>
  <c r="AF21" i="160"/>
  <c r="AF19" i="160"/>
  <c r="AF17" i="160"/>
  <c r="AF15" i="160"/>
  <c r="U10" i="160"/>
  <c r="AH19" i="160"/>
  <c r="T21" i="160"/>
  <c r="Y22" i="160"/>
  <c r="Z22" i="160" s="1"/>
  <c r="AH22" i="160"/>
  <c r="Y26" i="160"/>
  <c r="Z26" i="160" s="1"/>
  <c r="Y37" i="160"/>
  <c r="Z37" i="160" s="1"/>
  <c r="K42" i="160"/>
  <c r="Y16" i="160"/>
  <c r="Z16" i="160" s="1"/>
  <c r="AH16" i="160"/>
  <c r="AH21" i="160"/>
  <c r="M10" i="160"/>
  <c r="AF10" i="160"/>
  <c r="T12" i="160"/>
  <c r="U13" i="160"/>
  <c r="AH14" i="160"/>
  <c r="S39" i="160"/>
  <c r="S38" i="160"/>
  <c r="S27" i="160"/>
  <c r="S23" i="160"/>
  <c r="S21" i="160"/>
  <c r="S19" i="160"/>
  <c r="S17" i="160"/>
  <c r="S40" i="160"/>
  <c r="S37" i="160"/>
  <c r="S28" i="160"/>
  <c r="S41" i="160"/>
  <c r="S24" i="160"/>
  <c r="S22" i="160"/>
  <c r="S20" i="160"/>
  <c r="S18" i="160"/>
  <c r="S16" i="160"/>
  <c r="S13" i="160"/>
  <c r="AG9" i="160"/>
  <c r="T11" i="160"/>
  <c r="U12" i="160"/>
  <c r="AF12" i="160"/>
  <c r="AF13" i="160"/>
  <c r="T15" i="160"/>
  <c r="AH17" i="160"/>
  <c r="T19" i="160"/>
  <c r="Y20" i="160"/>
  <c r="Z20" i="160" s="1"/>
  <c r="AH20" i="160"/>
  <c r="Y25" i="160"/>
  <c r="Z25" i="160" s="1"/>
  <c r="U37" i="160"/>
  <c r="U41" i="160"/>
  <c r="U24" i="160"/>
  <c r="U22" i="160"/>
  <c r="U20" i="160"/>
  <c r="U18" i="160"/>
  <c r="U16" i="160"/>
  <c r="U26" i="160"/>
  <c r="U25" i="160"/>
  <c r="U39" i="160"/>
  <c r="U38" i="160"/>
  <c r="U27" i="160"/>
  <c r="U23" i="160"/>
  <c r="U21" i="160"/>
  <c r="U19" i="160"/>
  <c r="U17" i="160"/>
  <c r="U15" i="160"/>
  <c r="U28" i="160"/>
  <c r="T40" i="160"/>
  <c r="T37" i="160"/>
  <c r="T28" i="160"/>
  <c r="T41" i="160"/>
  <c r="T24" i="160"/>
  <c r="T22" i="160"/>
  <c r="T20" i="160"/>
  <c r="T18" i="160"/>
  <c r="T16" i="160"/>
  <c r="T13" i="160"/>
  <c r="T26" i="160"/>
  <c r="T25" i="160"/>
  <c r="X42" i="160"/>
  <c r="U11" i="160"/>
  <c r="AF11" i="160"/>
  <c r="Z14" i="160"/>
  <c r="AA14" i="160" s="1"/>
  <c r="AB14" i="160" s="1"/>
  <c r="AE14" i="160" s="1"/>
  <c r="AH15" i="160"/>
  <c r="T17" i="160"/>
  <c r="Y18" i="160"/>
  <c r="Z18" i="160" s="1"/>
  <c r="AH18" i="160"/>
  <c r="Y21" i="160"/>
  <c r="Z21" i="160" s="1"/>
  <c r="AH23" i="160"/>
  <c r="AH26" i="160"/>
  <c r="T27" i="160"/>
  <c r="AH12" i="160" l="1"/>
  <c r="AA32" i="160"/>
  <c r="AB32" i="160" s="1"/>
  <c r="AI32" i="160" s="1"/>
  <c r="AG31" i="160"/>
  <c r="AG32" i="160"/>
  <c r="Y28" i="160"/>
  <c r="Z28" i="160" s="1"/>
  <c r="AH27" i="160"/>
  <c r="Y29" i="160"/>
  <c r="Z29" i="160" s="1"/>
  <c r="V31" i="160"/>
  <c r="AH29" i="160"/>
  <c r="S42" i="160"/>
  <c r="Y39" i="160"/>
  <c r="Z39" i="160" s="1"/>
  <c r="V35" i="160"/>
  <c r="AA35" i="160" s="1"/>
  <c r="AB35" i="160" s="1"/>
  <c r="AI35" i="160" s="1"/>
  <c r="V25" i="160"/>
  <c r="V15" i="160"/>
  <c r="V33" i="160"/>
  <c r="T42" i="160"/>
  <c r="AG34" i="160"/>
  <c r="AG30" i="160"/>
  <c r="AG33" i="160"/>
  <c r="AG35" i="160"/>
  <c r="AG36" i="160"/>
  <c r="AG28" i="160"/>
  <c r="AG29" i="160"/>
  <c r="AG37" i="160"/>
  <c r="V20" i="160"/>
  <c r="AA20" i="160" s="1"/>
  <c r="AB20" i="160" s="1"/>
  <c r="AI20" i="160" s="1"/>
  <c r="V28" i="160"/>
  <c r="V19" i="160"/>
  <c r="V38" i="160"/>
  <c r="V36" i="160"/>
  <c r="V30" i="160"/>
  <c r="V29" i="160"/>
  <c r="V26" i="160"/>
  <c r="AA26" i="160" s="1"/>
  <c r="AB26" i="160" s="1"/>
  <c r="AI26" i="160" s="1"/>
  <c r="V12" i="160"/>
  <c r="V34" i="160"/>
  <c r="AA36" i="162"/>
  <c r="AH10" i="162"/>
  <c r="AH36" i="162" s="1"/>
  <c r="AA25" i="160"/>
  <c r="AB25" i="160" s="1"/>
  <c r="AI25" i="160" s="1"/>
  <c r="AA15" i="160"/>
  <c r="AB15" i="160" s="1"/>
  <c r="AI14" i="160"/>
  <c r="U42" i="160"/>
  <c r="V13" i="160"/>
  <c r="V22" i="160"/>
  <c r="V37" i="160"/>
  <c r="V21" i="160"/>
  <c r="V39" i="160"/>
  <c r="M42" i="160"/>
  <c r="R10" i="160"/>
  <c r="AA19" i="160"/>
  <c r="AB19" i="160" s="1"/>
  <c r="AI19" i="160" s="1"/>
  <c r="AF42" i="160"/>
  <c r="V16" i="160"/>
  <c r="V24" i="160"/>
  <c r="V23" i="160"/>
  <c r="V10" i="160"/>
  <c r="AG40" i="160"/>
  <c r="AG26" i="160"/>
  <c r="AG25" i="160"/>
  <c r="AG39" i="160"/>
  <c r="AG38" i="160"/>
  <c r="AG27" i="160"/>
  <c r="AG23" i="160"/>
  <c r="AG21" i="160"/>
  <c r="AG19" i="160"/>
  <c r="AG17" i="160"/>
  <c r="AG15" i="160"/>
  <c r="AG41" i="160"/>
  <c r="AG18" i="160"/>
  <c r="AG13" i="160"/>
  <c r="AG12" i="160"/>
  <c r="AG16" i="160"/>
  <c r="AG20" i="160"/>
  <c r="AG10" i="160"/>
  <c r="AG11" i="160"/>
  <c r="AG22" i="160"/>
  <c r="AG24" i="160"/>
  <c r="V11" i="160"/>
  <c r="V18" i="160"/>
  <c r="V17" i="160"/>
  <c r="V27" i="160"/>
  <c r="AE35" i="160" l="1"/>
  <c r="AA31" i="160"/>
  <c r="AB31" i="160" s="1"/>
  <c r="AI31" i="160" s="1"/>
  <c r="AE32" i="160"/>
  <c r="AA28" i="160"/>
  <c r="AB28" i="160" s="1"/>
  <c r="AI28" i="160" s="1"/>
  <c r="AA33" i="160"/>
  <c r="AB33" i="160" s="1"/>
  <c r="AI33" i="160" s="1"/>
  <c r="AA36" i="160"/>
  <c r="AB36" i="160" s="1"/>
  <c r="AI36" i="160" s="1"/>
  <c r="AI15" i="160"/>
  <c r="AE15" i="160"/>
  <c r="AA34" i="160"/>
  <c r="AB34" i="160" s="1"/>
  <c r="AI34" i="160" s="1"/>
  <c r="AE25" i="160"/>
  <c r="AA38" i="160"/>
  <c r="AB38" i="160" s="1"/>
  <c r="AI38" i="160" s="1"/>
  <c r="AE19" i="160"/>
  <c r="AE10" i="160"/>
  <c r="AA11" i="160"/>
  <c r="AB11" i="160" s="1"/>
  <c r="AI11" i="160" s="1"/>
  <c r="AE26" i="160"/>
  <c r="AA30" i="160"/>
  <c r="AB30" i="160" s="1"/>
  <c r="AI30" i="160" s="1"/>
  <c r="AA29" i="160"/>
  <c r="AB29" i="160" s="1"/>
  <c r="AE20" i="160"/>
  <c r="AA18" i="160"/>
  <c r="AB18" i="160" s="1"/>
  <c r="AI18" i="160" s="1"/>
  <c r="AA23" i="160"/>
  <c r="AB23" i="160" s="1"/>
  <c r="AI23" i="160" s="1"/>
  <c r="AA39" i="160"/>
  <c r="AB39" i="160" s="1"/>
  <c r="AE39" i="160" s="1"/>
  <c r="AA13" i="160"/>
  <c r="AB13" i="160" s="1"/>
  <c r="AI13" i="160" s="1"/>
  <c r="AA22" i="160"/>
  <c r="AB22" i="160" s="1"/>
  <c r="AI22" i="160" s="1"/>
  <c r="AG42" i="160"/>
  <c r="AA24" i="160"/>
  <c r="AB24" i="160" s="1"/>
  <c r="AI24" i="160" s="1"/>
  <c r="AA12" i="160"/>
  <c r="AB12" i="160" s="1"/>
  <c r="AI12" i="160" s="1"/>
  <c r="AA21" i="160"/>
  <c r="AB21" i="160" s="1"/>
  <c r="AI21" i="160" s="1"/>
  <c r="AA17" i="160"/>
  <c r="AB17" i="160" s="1"/>
  <c r="AI17" i="160" s="1"/>
  <c r="AA27" i="160"/>
  <c r="AB27" i="160" s="1"/>
  <c r="AI27" i="160" s="1"/>
  <c r="V42" i="160"/>
  <c r="AA16" i="160"/>
  <c r="AB16" i="160" s="1"/>
  <c r="AI16" i="160" s="1"/>
  <c r="R42" i="160"/>
  <c r="AH10" i="160"/>
  <c r="AH42" i="160" s="1"/>
  <c r="Y10" i="160"/>
  <c r="AA37" i="160"/>
  <c r="AB37" i="160" s="1"/>
  <c r="AI37" i="160" s="1"/>
  <c r="AE33" i="160" l="1"/>
  <c r="AE34" i="160"/>
  <c r="AE36" i="160"/>
  <c r="AE31" i="160"/>
  <c r="AE30" i="160"/>
  <c r="AE28" i="160"/>
  <c r="AI29" i="160"/>
  <c r="AE29" i="160"/>
  <c r="AE23" i="160"/>
  <c r="AE18" i="160"/>
  <c r="AE37" i="160"/>
  <c r="AE38" i="160"/>
  <c r="AE27" i="160"/>
  <c r="AE12" i="160"/>
  <c r="AE13" i="160"/>
  <c r="AE11" i="160"/>
  <c r="AE22" i="160"/>
  <c r="AE21" i="160"/>
  <c r="AE24" i="160"/>
  <c r="AE17" i="160"/>
  <c r="AE16" i="160"/>
  <c r="Y42" i="160"/>
  <c r="Z10" i="160"/>
  <c r="AE45" i="160"/>
  <c r="AE42" i="160" l="1"/>
  <c r="Z42" i="160"/>
  <c r="AA10" i="160"/>
  <c r="AH44" i="160" l="1"/>
  <c r="AI44" i="160" s="1"/>
  <c r="AE44" i="160"/>
  <c r="AE48" i="160" s="1"/>
  <c r="AA42" i="160"/>
  <c r="AB10" i="160"/>
  <c r="AB42" i="160" l="1"/>
  <c r="AI10" i="160"/>
  <c r="AI42" i="160" s="1"/>
  <c r="D4" i="157" l="1"/>
  <c r="E4" i="157"/>
  <c r="D5" i="157"/>
  <c r="E5" i="157" s="1"/>
  <c r="E3" i="157"/>
  <c r="D3" i="157"/>
  <c r="O8" i="30" l="1"/>
  <c r="K96" i="142" l="1"/>
  <c r="C95" i="142"/>
  <c r="A96" i="142"/>
  <c r="C89" i="142"/>
  <c r="K84" i="142"/>
  <c r="A90" i="142"/>
  <c r="C77" i="142"/>
  <c r="K78" i="142"/>
  <c r="A78" i="142"/>
  <c r="K72" i="142"/>
  <c r="C71" i="142"/>
  <c r="C65" i="142"/>
  <c r="A72" i="142"/>
  <c r="K66" i="142"/>
  <c r="A66" i="142"/>
  <c r="K60" i="142"/>
  <c r="K54" i="142"/>
  <c r="K48" i="142"/>
  <c r="C47" i="142"/>
  <c r="A36" i="142"/>
  <c r="C23" i="142"/>
  <c r="C17" i="142"/>
  <c r="C29" i="142"/>
  <c r="C35" i="142"/>
  <c r="C41" i="142"/>
  <c r="A48" i="142"/>
  <c r="A42" i="142"/>
  <c r="K30" i="142"/>
  <c r="A30" i="142"/>
  <c r="K24" i="142"/>
  <c r="A24" i="142"/>
  <c r="K18" i="142"/>
  <c r="A18" i="142"/>
  <c r="A12" i="142"/>
  <c r="K6" i="142"/>
  <c r="P17" i="142"/>
  <c r="P11" i="142"/>
  <c r="M6" i="142"/>
  <c r="P5" i="142"/>
  <c r="C83" i="142"/>
  <c r="C59" i="142"/>
  <c r="A84" i="142"/>
  <c r="A60" i="142"/>
  <c r="A54" i="142"/>
  <c r="C53" i="142"/>
  <c r="A6" i="142"/>
  <c r="C11" i="142"/>
  <c r="C5" i="142"/>
  <c r="C48" i="142"/>
  <c r="F48" i="142"/>
  <c r="H48" i="142"/>
  <c r="I48" i="142"/>
  <c r="J48" i="142"/>
  <c r="G48" i="142"/>
  <c r="F47" i="142"/>
  <c r="H47" i="142"/>
  <c r="I47" i="142"/>
  <c r="J47" i="142"/>
  <c r="G47" i="142"/>
  <c r="F46" i="142"/>
  <c r="H46" i="142"/>
  <c r="I46" i="142"/>
  <c r="J46" i="142"/>
  <c r="G46" i="142"/>
  <c r="C18" i="142"/>
  <c r="M12" i="142"/>
  <c r="C114" i="142"/>
  <c r="F114" i="142"/>
  <c r="H114" i="142"/>
  <c r="I114" i="142"/>
  <c r="J114" i="142"/>
  <c r="G114" i="142"/>
  <c r="C113" i="142"/>
  <c r="F113" i="142"/>
  <c r="H113" i="142"/>
  <c r="I113" i="142"/>
  <c r="J113" i="142"/>
  <c r="G113" i="142"/>
  <c r="F112" i="142"/>
  <c r="H112" i="142"/>
  <c r="I112" i="142"/>
  <c r="J112" i="142"/>
  <c r="G112" i="142"/>
  <c r="C108" i="142"/>
  <c r="F108" i="142"/>
  <c r="H108" i="142"/>
  <c r="C107" i="142"/>
  <c r="F107" i="142"/>
  <c r="H107" i="142"/>
  <c r="F106" i="142"/>
  <c r="H106" i="142"/>
  <c r="I108" i="142"/>
  <c r="J108" i="142"/>
  <c r="G108" i="142"/>
  <c r="I107" i="142"/>
  <c r="J107" i="142"/>
  <c r="G107" i="142"/>
  <c r="I106" i="142"/>
  <c r="J106" i="142"/>
  <c r="G106" i="142"/>
  <c r="H102" i="142"/>
  <c r="H101" i="142"/>
  <c r="H100" i="142"/>
  <c r="C102" i="142"/>
  <c r="F102" i="142"/>
  <c r="I102" i="142"/>
  <c r="J102" i="142"/>
  <c r="G102" i="142"/>
  <c r="C101" i="142"/>
  <c r="F101" i="142"/>
  <c r="I101" i="142"/>
  <c r="J101" i="142"/>
  <c r="G101" i="142"/>
  <c r="F100" i="142"/>
  <c r="I100" i="142"/>
  <c r="J100" i="142"/>
  <c r="G100" i="142"/>
  <c r="F96" i="142"/>
  <c r="H96" i="142"/>
  <c r="I96" i="142"/>
  <c r="G96" i="142"/>
  <c r="F95" i="142"/>
  <c r="H95" i="142"/>
  <c r="I95" i="142"/>
  <c r="J95" i="142"/>
  <c r="G95" i="142"/>
  <c r="F94" i="142"/>
  <c r="H94" i="142"/>
  <c r="I94" i="142"/>
  <c r="J94" i="142"/>
  <c r="G94" i="142"/>
  <c r="F90" i="142"/>
  <c r="H90" i="142"/>
  <c r="I90" i="142"/>
  <c r="G90" i="142"/>
  <c r="F89" i="142"/>
  <c r="J89" i="142"/>
  <c r="H89" i="142"/>
  <c r="I89" i="142"/>
  <c r="G89" i="142"/>
  <c r="F88" i="142"/>
  <c r="H88" i="142"/>
  <c r="I88" i="142"/>
  <c r="J88" i="142"/>
  <c r="G88" i="142"/>
  <c r="F84" i="142"/>
  <c r="H84" i="142"/>
  <c r="I84" i="142"/>
  <c r="G84" i="142"/>
  <c r="F83" i="142"/>
  <c r="H83" i="142"/>
  <c r="I83" i="142"/>
  <c r="J83" i="142"/>
  <c r="G83" i="142"/>
  <c r="F82" i="142"/>
  <c r="H82" i="142"/>
  <c r="I82" i="142"/>
  <c r="J82" i="142"/>
  <c r="G82" i="142"/>
  <c r="H78" i="142"/>
  <c r="I78" i="142"/>
  <c r="J78" i="142"/>
  <c r="H77" i="142"/>
  <c r="I77" i="142"/>
  <c r="H76" i="142"/>
  <c r="F78" i="142"/>
  <c r="G78" i="142"/>
  <c r="F77" i="142"/>
  <c r="F76" i="142"/>
  <c r="I76" i="142"/>
  <c r="J76" i="142"/>
  <c r="G76" i="142"/>
  <c r="F72" i="142"/>
  <c r="J72" i="142"/>
  <c r="H72" i="142"/>
  <c r="I72" i="142"/>
  <c r="G72" i="142"/>
  <c r="F71" i="142"/>
  <c r="J71" i="142"/>
  <c r="H71" i="142"/>
  <c r="I71" i="142"/>
  <c r="G71" i="142"/>
  <c r="F70" i="142"/>
  <c r="H70" i="142"/>
  <c r="I70" i="142"/>
  <c r="J70" i="142"/>
  <c r="G70" i="142"/>
  <c r="F66" i="142"/>
  <c r="H66" i="142"/>
  <c r="I66" i="142"/>
  <c r="J66" i="142"/>
  <c r="G66" i="142"/>
  <c r="F65" i="142"/>
  <c r="G65" i="142"/>
  <c r="H65" i="142"/>
  <c r="I65" i="142"/>
  <c r="F64" i="142"/>
  <c r="H64" i="142"/>
  <c r="I64" i="142"/>
  <c r="J64" i="142"/>
  <c r="G64" i="142"/>
  <c r="H60" i="142"/>
  <c r="I60" i="142"/>
  <c r="J60" i="142"/>
  <c r="H59" i="142"/>
  <c r="H58" i="142"/>
  <c r="F54" i="142"/>
  <c r="H54" i="142"/>
  <c r="I54" i="142"/>
  <c r="J54" i="142"/>
  <c r="H52" i="142"/>
  <c r="F42" i="142"/>
  <c r="H42" i="142"/>
  <c r="I42" i="142"/>
  <c r="J42" i="142"/>
  <c r="K42" i="142"/>
  <c r="H40" i="142"/>
  <c r="F36" i="142"/>
  <c r="H36" i="142"/>
  <c r="I36" i="142"/>
  <c r="H35" i="142"/>
  <c r="I35" i="142"/>
  <c r="J35" i="142"/>
  <c r="H34" i="142"/>
  <c r="F24" i="142"/>
  <c r="G24" i="142"/>
  <c r="H24" i="142"/>
  <c r="I24" i="142"/>
  <c r="J24" i="142"/>
  <c r="H23" i="142"/>
  <c r="I23" i="142"/>
  <c r="J23" i="142"/>
  <c r="H22" i="142"/>
  <c r="F6" i="142"/>
  <c r="H6" i="142"/>
  <c r="I6" i="142"/>
  <c r="J6" i="142"/>
  <c r="H5" i="142"/>
  <c r="I5" i="142"/>
  <c r="J5" i="142"/>
  <c r="H4" i="142"/>
  <c r="M18" i="142"/>
  <c r="R18" i="142"/>
  <c r="R17" i="142"/>
  <c r="T17" i="142"/>
  <c r="U17" i="142"/>
  <c r="V17" i="142"/>
  <c r="S17" i="142"/>
  <c r="R16" i="142"/>
  <c r="T16" i="142"/>
  <c r="U16" i="142"/>
  <c r="V16" i="142"/>
  <c r="S16" i="142"/>
  <c r="R12" i="142"/>
  <c r="T12" i="142"/>
  <c r="R11" i="142"/>
  <c r="T11" i="142"/>
  <c r="V11" i="142"/>
  <c r="S11" i="142"/>
  <c r="R10" i="142"/>
  <c r="T10" i="142"/>
  <c r="V10" i="142"/>
  <c r="S10" i="142"/>
  <c r="R6" i="142"/>
  <c r="T6" i="142"/>
  <c r="U6" i="142"/>
  <c r="V6" i="142"/>
  <c r="W6" i="142"/>
  <c r="S6" i="142"/>
  <c r="R5" i="142"/>
  <c r="T5" i="142"/>
  <c r="U5" i="142"/>
  <c r="V5" i="142"/>
  <c r="S5" i="142"/>
  <c r="R4" i="142"/>
  <c r="T4" i="142"/>
  <c r="U4" i="142"/>
  <c r="V4" i="142"/>
  <c r="S4" i="142"/>
  <c r="F60" i="142"/>
  <c r="G60" i="142"/>
  <c r="F59" i="142"/>
  <c r="G59" i="142"/>
  <c r="I59" i="142"/>
  <c r="J59" i="142"/>
  <c r="F58" i="142"/>
  <c r="I58" i="142"/>
  <c r="J58" i="142"/>
  <c r="G58" i="142"/>
  <c r="F53" i="142"/>
  <c r="H53" i="142"/>
  <c r="I53" i="142"/>
  <c r="F52" i="142"/>
  <c r="I52" i="142"/>
  <c r="J52" i="142"/>
  <c r="G52" i="142"/>
  <c r="G42" i="142"/>
  <c r="F41" i="142"/>
  <c r="H41" i="142"/>
  <c r="I41" i="142"/>
  <c r="F40" i="142"/>
  <c r="I40" i="142"/>
  <c r="J40" i="142"/>
  <c r="G40" i="142"/>
  <c r="G36" i="142"/>
  <c r="F35" i="142"/>
  <c r="G35" i="142"/>
  <c r="F34" i="142"/>
  <c r="I34" i="142"/>
  <c r="J34" i="142"/>
  <c r="G34" i="142"/>
  <c r="F30" i="142"/>
  <c r="J30" i="142"/>
  <c r="H30" i="142"/>
  <c r="I30" i="142"/>
  <c r="G30" i="142"/>
  <c r="F29" i="142"/>
  <c r="G29" i="142"/>
  <c r="H29" i="142"/>
  <c r="I29" i="142"/>
  <c r="F28" i="142"/>
  <c r="H28" i="142"/>
  <c r="I28" i="142"/>
  <c r="J28" i="142"/>
  <c r="G28" i="142"/>
  <c r="F23" i="142"/>
  <c r="G23" i="142"/>
  <c r="F22" i="142"/>
  <c r="I22" i="142"/>
  <c r="J22" i="142"/>
  <c r="G22" i="142"/>
  <c r="F18" i="142"/>
  <c r="H18" i="142"/>
  <c r="I18" i="142"/>
  <c r="J18" i="142"/>
  <c r="G18" i="142"/>
  <c r="F17" i="142"/>
  <c r="H17" i="142"/>
  <c r="I17" i="142"/>
  <c r="J17" i="142"/>
  <c r="G17" i="142"/>
  <c r="F16" i="142"/>
  <c r="H16" i="142"/>
  <c r="I16" i="142"/>
  <c r="J16" i="142"/>
  <c r="G16" i="142"/>
  <c r="F12" i="142"/>
  <c r="H12" i="142"/>
  <c r="I12" i="142"/>
  <c r="F11" i="142"/>
  <c r="H11" i="142"/>
  <c r="I11" i="142"/>
  <c r="F10" i="142"/>
  <c r="H10" i="142"/>
  <c r="I10" i="142"/>
  <c r="J10" i="142"/>
  <c r="G10" i="142"/>
  <c r="G6" i="142"/>
  <c r="F5" i="142"/>
  <c r="G5" i="142"/>
  <c r="F4" i="142"/>
  <c r="I4" i="142"/>
  <c r="J4" i="142"/>
  <c r="G4" i="142"/>
  <c r="D38" i="16"/>
  <c r="BC32" i="30"/>
  <c r="AU32" i="30"/>
  <c r="AQ32" i="30"/>
  <c r="AM32" i="30"/>
  <c r="AI32" i="30"/>
  <c r="AE32" i="30"/>
  <c r="AA32" i="30"/>
  <c r="W32" i="30"/>
  <c r="S32" i="30"/>
  <c r="O32" i="30"/>
  <c r="K32" i="30"/>
  <c r="I32" i="30"/>
  <c r="F32" i="30"/>
  <c r="H32" i="30" s="1"/>
  <c r="J32" i="30" s="1"/>
  <c r="K31" i="30"/>
  <c r="I31" i="30"/>
  <c r="F31" i="30"/>
  <c r="H31" i="30" s="1"/>
  <c r="J31" i="30" s="1"/>
  <c r="K30" i="30"/>
  <c r="I30" i="30"/>
  <c r="F30" i="30"/>
  <c r="H30" i="30" s="1"/>
  <c r="J30" i="30" s="1"/>
  <c r="K29" i="30"/>
  <c r="I29" i="30"/>
  <c r="F29" i="30"/>
  <c r="H29" i="30" s="1"/>
  <c r="J29" i="30" s="1"/>
  <c r="K28" i="30"/>
  <c r="I28" i="30"/>
  <c r="F28" i="30"/>
  <c r="H28" i="30" s="1"/>
  <c r="J28" i="30" s="1"/>
  <c r="K27" i="30"/>
  <c r="I27" i="30"/>
  <c r="F27" i="30"/>
  <c r="H27" i="30" s="1"/>
  <c r="J27" i="30" s="1"/>
  <c r="K26" i="30"/>
  <c r="I26" i="30"/>
  <c r="F26" i="30"/>
  <c r="H26" i="30" s="1"/>
  <c r="J26" i="30" s="1"/>
  <c r="K25" i="30"/>
  <c r="I25" i="30"/>
  <c r="F25" i="30"/>
  <c r="H25" i="30" s="1"/>
  <c r="J25" i="30" s="1"/>
  <c r="K24" i="30"/>
  <c r="I24" i="30"/>
  <c r="F24" i="30"/>
  <c r="H24" i="30" s="1"/>
  <c r="J24" i="30" s="1"/>
  <c r="K23" i="30"/>
  <c r="I23" i="30"/>
  <c r="F23" i="30"/>
  <c r="H23" i="30" s="1"/>
  <c r="J23" i="30" s="1"/>
  <c r="K22" i="30"/>
  <c r="I22" i="30"/>
  <c r="F22" i="30"/>
  <c r="H22" i="30" s="1"/>
  <c r="J22" i="30" s="1"/>
  <c r="K21" i="30"/>
  <c r="I21" i="30"/>
  <c r="F21" i="30"/>
  <c r="H21" i="30" s="1"/>
  <c r="J21" i="30" s="1"/>
  <c r="K20" i="30"/>
  <c r="I20" i="30"/>
  <c r="F20" i="30"/>
  <c r="H20" i="30" s="1"/>
  <c r="J20" i="30" s="1"/>
  <c r="K19" i="30"/>
  <c r="I19" i="30"/>
  <c r="F19" i="30"/>
  <c r="H19" i="30" s="1"/>
  <c r="J19" i="30" s="1"/>
  <c r="K18" i="30"/>
  <c r="I18" i="30"/>
  <c r="F18" i="30"/>
  <c r="H18" i="30" s="1"/>
  <c r="J18" i="30" s="1"/>
  <c r="K17" i="30"/>
  <c r="I17" i="30"/>
  <c r="F17" i="30"/>
  <c r="H17" i="30" s="1"/>
  <c r="J17" i="30" s="1"/>
  <c r="K16" i="30"/>
  <c r="I16" i="30"/>
  <c r="F16" i="30"/>
  <c r="H16" i="30" s="1"/>
  <c r="J16" i="30" s="1"/>
  <c r="K15" i="30"/>
  <c r="I15" i="30"/>
  <c r="F15" i="30"/>
  <c r="H15" i="30" s="1"/>
  <c r="J15" i="30" s="1"/>
  <c r="K14" i="30"/>
  <c r="I14" i="30"/>
  <c r="F14" i="30"/>
  <c r="H14" i="30" s="1"/>
  <c r="J14" i="30" s="1"/>
  <c r="K13" i="30"/>
  <c r="I13" i="30"/>
  <c r="F13" i="30"/>
  <c r="H13" i="30" s="1"/>
  <c r="J13" i="30" s="1"/>
  <c r="K12" i="30"/>
  <c r="I12" i="30"/>
  <c r="F12" i="30"/>
  <c r="H12" i="30" s="1"/>
  <c r="J12" i="30" s="1"/>
  <c r="K11" i="30"/>
  <c r="I11" i="30"/>
  <c r="F11" i="30"/>
  <c r="H11" i="30" s="1"/>
  <c r="J11" i="30" s="1"/>
  <c r="K9" i="30"/>
  <c r="I9" i="30"/>
  <c r="F9" i="30"/>
  <c r="H9" i="30" s="1"/>
  <c r="J9" i="30" s="1"/>
  <c r="B9" i="16"/>
  <c r="B39" i="16" s="1"/>
  <c r="K10" i="30"/>
  <c r="I10" i="30"/>
  <c r="F10" i="30"/>
  <c r="H10" i="30" s="1"/>
  <c r="J10" i="30" s="1"/>
  <c r="B42" i="16"/>
  <c r="B61" i="16"/>
  <c r="A61" i="16"/>
  <c r="B54" i="16"/>
  <c r="B52" i="16"/>
  <c r="B51" i="16"/>
  <c r="B50" i="16"/>
  <c r="B48" i="16"/>
  <c r="B47" i="16"/>
  <c r="B46" i="16"/>
  <c r="D39" i="16"/>
  <c r="C57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B57" i="16"/>
  <c r="A57" i="16"/>
  <c r="B38" i="16"/>
  <c r="W8" i="30"/>
  <c r="W17" i="30" s="1"/>
  <c r="BC8" i="30"/>
  <c r="BC26" i="30" s="1"/>
  <c r="AY8" i="30"/>
  <c r="AU8" i="30"/>
  <c r="AQ8" i="30"/>
  <c r="AQ24" i="30" s="1"/>
  <c r="AM8" i="30"/>
  <c r="AM17" i="30" s="1"/>
  <c r="AI8" i="30"/>
  <c r="AI20" i="30" s="1"/>
  <c r="AE8" i="30"/>
  <c r="AA8" i="30"/>
  <c r="AA16" i="30" s="1"/>
  <c r="S8" i="30"/>
  <c r="S26" i="30" s="1"/>
  <c r="F7" i="30"/>
  <c r="A37" i="30"/>
  <c r="C39" i="16"/>
  <c r="A27" i="16"/>
  <c r="A56" i="16" s="1"/>
  <c r="S30" i="30"/>
  <c r="S18" i="30"/>
  <c r="S14" i="30"/>
  <c r="S20" i="30"/>
  <c r="S29" i="30"/>
  <c r="S17" i="30"/>
  <c r="S13" i="30"/>
  <c r="S11" i="30"/>
  <c r="S27" i="30"/>
  <c r="S31" i="30"/>
  <c r="S23" i="30"/>
  <c r="S16" i="30"/>
  <c r="AM25" i="30"/>
  <c r="AM21" i="30"/>
  <c r="AM23" i="30"/>
  <c r="AM28" i="30"/>
  <c r="AM16" i="30"/>
  <c r="AM12" i="30"/>
  <c r="AM31" i="30"/>
  <c r="AM19" i="30"/>
  <c r="AM18" i="30"/>
  <c r="AM30" i="30"/>
  <c r="AM15" i="30"/>
  <c r="AM14" i="30"/>
  <c r="AM26" i="30"/>
  <c r="BC30" i="30"/>
  <c r="BC18" i="30"/>
  <c r="BC14" i="30"/>
  <c r="BC16" i="30"/>
  <c r="BC29" i="30"/>
  <c r="BC17" i="30"/>
  <c r="BC13" i="30"/>
  <c r="BC15" i="30"/>
  <c r="BC11" i="30"/>
  <c r="BC19" i="30"/>
  <c r="BC31" i="30"/>
  <c r="AA28" i="30"/>
  <c r="AA24" i="30"/>
  <c r="AA20" i="30"/>
  <c r="AA12" i="30"/>
  <c r="AA30" i="30"/>
  <c r="AA22" i="30"/>
  <c r="AA31" i="30"/>
  <c r="AA27" i="30"/>
  <c r="AA23" i="30"/>
  <c r="AA15" i="30"/>
  <c r="AA11" i="30"/>
  <c r="AA26" i="30"/>
  <c r="AA29" i="30"/>
  <c r="AA21" i="30"/>
  <c r="AA25" i="30"/>
  <c r="AA14" i="30"/>
  <c r="AA9" i="30"/>
  <c r="AQ28" i="30"/>
  <c r="AQ20" i="30"/>
  <c r="AQ16" i="30"/>
  <c r="AQ12" i="30"/>
  <c r="AQ30" i="30"/>
  <c r="AQ26" i="30"/>
  <c r="AQ22" i="30"/>
  <c r="AQ18" i="30"/>
  <c r="AQ31" i="30"/>
  <c r="AQ27" i="30"/>
  <c r="AQ23" i="30"/>
  <c r="AQ19" i="30"/>
  <c r="AQ11" i="30"/>
  <c r="AQ25" i="30"/>
  <c r="AQ17" i="30"/>
  <c r="AQ13" i="30"/>
  <c r="AQ9" i="30"/>
  <c r="AQ29" i="30"/>
  <c r="W29" i="30"/>
  <c r="W25" i="30"/>
  <c r="W21" i="30"/>
  <c r="W13" i="30"/>
  <c r="W23" i="30"/>
  <c r="W28" i="30"/>
  <c r="W20" i="30"/>
  <c r="W16" i="30"/>
  <c r="W12" i="30"/>
  <c r="W31" i="30"/>
  <c r="W27" i="30"/>
  <c r="W19" i="30"/>
  <c r="W26" i="30"/>
  <c r="W14" i="30"/>
  <c r="W9" i="30"/>
  <c r="W30" i="30"/>
  <c r="W15" i="30"/>
  <c r="W11" i="30"/>
  <c r="AE31" i="30"/>
  <c r="AE27" i="30"/>
  <c r="AE23" i="30"/>
  <c r="AE19" i="30"/>
  <c r="AE15" i="30"/>
  <c r="AE11" i="30"/>
  <c r="AE29" i="30"/>
  <c r="AE21" i="30"/>
  <c r="AE17" i="30"/>
  <c r="AE30" i="30"/>
  <c r="AE26" i="30"/>
  <c r="AE22" i="30"/>
  <c r="AE18" i="30"/>
  <c r="AE14" i="30"/>
  <c r="AE9" i="30"/>
  <c r="AE25" i="30"/>
  <c r="AE28" i="30"/>
  <c r="AE20" i="30"/>
  <c r="AE16" i="30"/>
  <c r="AE12" i="30"/>
  <c r="AE13" i="30"/>
  <c r="AE24" i="30"/>
  <c r="AU31" i="30"/>
  <c r="AU27" i="30"/>
  <c r="AU23" i="30"/>
  <c r="AU19" i="30"/>
  <c r="AU15" i="30"/>
  <c r="AU11" i="30"/>
  <c r="AU29" i="30"/>
  <c r="AU21" i="30"/>
  <c r="AU17" i="30"/>
  <c r="AU30" i="30"/>
  <c r="AU26" i="30"/>
  <c r="AU22" i="30"/>
  <c r="AU18" i="30"/>
  <c r="AU14" i="30"/>
  <c r="AU9" i="30"/>
  <c r="AU25" i="30"/>
  <c r="AU12" i="30"/>
  <c r="AU13" i="30"/>
  <c r="AU24" i="30"/>
  <c r="AU16" i="30"/>
  <c r="AU28" i="30"/>
  <c r="AU20" i="30"/>
  <c r="O31" i="30"/>
  <c r="O27" i="30"/>
  <c r="O23" i="30"/>
  <c r="O19" i="30"/>
  <c r="O15" i="30"/>
  <c r="O11" i="30"/>
  <c r="O29" i="30"/>
  <c r="O21" i="30"/>
  <c r="O17" i="30"/>
  <c r="O30" i="30"/>
  <c r="O26" i="30"/>
  <c r="O22" i="30"/>
  <c r="O18" i="30"/>
  <c r="O14" i="30"/>
  <c r="O9" i="30"/>
  <c r="O25" i="30"/>
  <c r="O16" i="30"/>
  <c r="O12" i="30"/>
  <c r="O24" i="30"/>
  <c r="O28" i="30"/>
  <c r="O20" i="30"/>
  <c r="O13" i="30"/>
  <c r="AI30" i="30"/>
  <c r="AI22" i="30"/>
  <c r="AI28" i="30"/>
  <c r="AI17" i="30"/>
  <c r="AI16" i="30"/>
  <c r="AI31" i="30"/>
  <c r="AI12" i="30"/>
  <c r="AA10" i="30"/>
  <c r="W10" i="30"/>
  <c r="S10" i="30"/>
  <c r="AM10" i="30"/>
  <c r="AE10" i="30"/>
  <c r="AU10" i="30"/>
  <c r="O10" i="30"/>
  <c r="J96" i="142"/>
  <c r="J90" i="142"/>
  <c r="K90" i="142"/>
  <c r="J77" i="142"/>
  <c r="G77" i="142"/>
  <c r="J65" i="142"/>
  <c r="J29" i="142"/>
  <c r="J41" i="142"/>
  <c r="G41" i="142"/>
  <c r="J36" i="142"/>
  <c r="K36" i="142"/>
  <c r="J12" i="142"/>
  <c r="K12" i="142"/>
  <c r="G12" i="142"/>
  <c r="T18" i="142"/>
  <c r="U18" i="142"/>
  <c r="V18" i="142"/>
  <c r="W18" i="142"/>
  <c r="S18" i="142"/>
  <c r="S12" i="142"/>
  <c r="V12" i="142"/>
  <c r="W12" i="142"/>
  <c r="G54" i="142"/>
  <c r="J84" i="142"/>
  <c r="G11" i="142"/>
  <c r="J11" i="142"/>
  <c r="G53" i="142"/>
  <c r="J53" i="142"/>
  <c r="B2" i="16"/>
  <c r="B53" i="16" l="1"/>
  <c r="B16" i="16"/>
  <c r="B45" i="16" s="1"/>
  <c r="B15" i="16"/>
  <c r="B44" i="16" s="1"/>
  <c r="B14" i="16"/>
  <c r="B43" i="16" s="1"/>
  <c r="AI11" i="30"/>
  <c r="AI15" i="30"/>
  <c r="AI21" i="30"/>
  <c r="AI9" i="30"/>
  <c r="AI26" i="30"/>
  <c r="AI19" i="30"/>
  <c r="AI23" i="30"/>
  <c r="AI24" i="30"/>
  <c r="AI25" i="30"/>
  <c r="AI14" i="30"/>
  <c r="BC27" i="30"/>
  <c r="BC24" i="30"/>
  <c r="BC21" i="30"/>
  <c r="BC20" i="30"/>
  <c r="BC22" i="30"/>
  <c r="AM9" i="30"/>
  <c r="AM22" i="30"/>
  <c r="AM27" i="30"/>
  <c r="AM20" i="30"/>
  <c r="AM13" i="30"/>
  <c r="AM29" i="30"/>
  <c r="S15" i="30"/>
  <c r="S21" i="30"/>
  <c r="S24" i="30"/>
  <c r="S22" i="30"/>
  <c r="AI10" i="30"/>
  <c r="BC10" i="30"/>
  <c r="AQ10" i="30"/>
  <c r="AI27" i="30"/>
  <c r="AI13" i="30"/>
  <c r="AI29" i="30"/>
  <c r="AI18" i="30"/>
  <c r="W22" i="30"/>
  <c r="W18" i="30"/>
  <c r="W24" i="30"/>
  <c r="AQ21" i="30"/>
  <c r="AQ14" i="30"/>
  <c r="AQ15" i="30"/>
  <c r="AA17" i="30"/>
  <c r="AA13" i="30"/>
  <c r="AA19" i="30"/>
  <c r="AA18" i="30"/>
  <c r="BC23" i="30"/>
  <c r="BC12" i="30"/>
  <c r="BC28" i="30"/>
  <c r="BC25" i="30"/>
  <c r="BC9" i="30"/>
  <c r="AM11" i="30"/>
  <c r="AM24" i="30"/>
  <c r="S12" i="30"/>
  <c r="S19" i="30"/>
  <c r="S28" i="30"/>
  <c r="S25" i="30"/>
  <c r="S9" i="30"/>
  <c r="C16" i="16"/>
  <c r="C45" i="16" s="1"/>
  <c r="C12" i="16"/>
  <c r="B20" i="16"/>
  <c r="B49" i="16" s="1"/>
  <c r="C43" i="16"/>
  <c r="C48" i="16"/>
  <c r="C49" i="16"/>
  <c r="C50" i="16"/>
  <c r="C13" i="16"/>
  <c r="C44" i="16"/>
  <c r="C46" i="16"/>
  <c r="C47" i="16"/>
  <c r="B11" i="16"/>
  <c r="C25" i="16" l="1"/>
  <c r="C54" i="16" s="1"/>
  <c r="B13" i="16"/>
  <c r="E25" i="16"/>
  <c r="C53" i="16"/>
  <c r="C51" i="16"/>
  <c r="C52" i="16"/>
  <c r="C42" i="16"/>
  <c r="C32" i="16"/>
  <c r="B41" i="16"/>
  <c r="C61" i="16" l="1"/>
  <c r="D61" i="16"/>
</calcChain>
</file>

<file path=xl/comments1.xml><?xml version="1.0" encoding="utf-8"?>
<comments xmlns="http://schemas.openxmlformats.org/spreadsheetml/2006/main">
  <authors>
    <author>Helena</author>
  </authors>
  <commentList>
    <comment ref="AD10" authorId="0" shapeId="0">
      <text>
        <r>
          <rPr>
            <b/>
            <sz val="9"/>
            <color indexed="81"/>
            <rFont val="Tahoma"/>
            <family val="2"/>
          </rPr>
          <t>Helena:</t>
        </r>
        <r>
          <rPr>
            <sz val="9"/>
            <color indexed="81"/>
            <rFont val="Tahoma"/>
            <family val="2"/>
          </rPr>
          <t xml:space="preserve">
kg tru thue TNCN</t>
        </r>
      </text>
    </comment>
  </commentList>
</comments>
</file>

<file path=xl/comments2.xml><?xml version="1.0" encoding="utf-8"?>
<comments xmlns="http://schemas.openxmlformats.org/spreadsheetml/2006/main">
  <authors>
    <author>Helena</author>
  </authors>
  <commentList>
    <comment ref="AD10" authorId="0" shapeId="0">
      <text>
        <r>
          <rPr>
            <b/>
            <sz val="9"/>
            <color indexed="81"/>
            <rFont val="Tahoma"/>
            <family val="2"/>
          </rPr>
          <t>Helena:</t>
        </r>
        <r>
          <rPr>
            <sz val="9"/>
            <color indexed="81"/>
            <rFont val="Tahoma"/>
            <family val="2"/>
          </rPr>
          <t xml:space="preserve">
kg tru thue TNCN</t>
        </r>
      </text>
    </comment>
  </commentList>
</comments>
</file>

<file path=xl/comments3.xml><?xml version="1.0" encoding="utf-8"?>
<comments xmlns="http://schemas.openxmlformats.org/spreadsheetml/2006/main">
  <authors>
    <author>Helena</author>
  </authors>
  <commentList>
    <comment ref="AD10" authorId="0" shapeId="0">
      <text>
        <r>
          <rPr>
            <b/>
            <sz val="9"/>
            <color indexed="81"/>
            <rFont val="Tahoma"/>
            <family val="2"/>
          </rPr>
          <t>Helena:</t>
        </r>
        <r>
          <rPr>
            <sz val="9"/>
            <color indexed="81"/>
            <rFont val="Tahoma"/>
            <family val="2"/>
          </rPr>
          <t xml:space="preserve">
kg tru thue TNCN</t>
        </r>
      </text>
    </comment>
  </commentList>
</comments>
</file>

<file path=xl/comments4.xml><?xml version="1.0" encoding="utf-8"?>
<comments xmlns="http://schemas.openxmlformats.org/spreadsheetml/2006/main">
  <authors>
    <author>Helena</author>
  </authors>
  <commentList>
    <comment ref="AD10" authorId="0" shapeId="0">
      <text>
        <r>
          <rPr>
            <b/>
            <sz val="9"/>
            <color indexed="81"/>
            <rFont val="Tahoma"/>
            <family val="2"/>
          </rPr>
          <t>Helena:</t>
        </r>
        <r>
          <rPr>
            <sz val="9"/>
            <color indexed="81"/>
            <rFont val="Tahoma"/>
            <family val="2"/>
          </rPr>
          <t xml:space="preserve">
kg tru thue TNCN</t>
        </r>
      </text>
    </comment>
  </commentList>
</comments>
</file>

<file path=xl/comments5.xml><?xml version="1.0" encoding="utf-8"?>
<comments xmlns="http://schemas.openxmlformats.org/spreadsheetml/2006/main">
  <authors>
    <author>Helena</author>
  </authors>
  <commentList>
    <comment ref="AE10" authorId="0" shapeId="0">
      <text>
        <r>
          <rPr>
            <b/>
            <sz val="9"/>
            <color indexed="81"/>
            <rFont val="Tahoma"/>
            <family val="2"/>
          </rPr>
          <t>Helena:</t>
        </r>
        <r>
          <rPr>
            <sz val="9"/>
            <color indexed="81"/>
            <rFont val="Tahoma"/>
            <family val="2"/>
          </rPr>
          <t xml:space="preserve">
kg tru thue TNCN</t>
        </r>
      </text>
    </comment>
  </commentList>
</comments>
</file>

<file path=xl/comments6.xml><?xml version="1.0" encoding="utf-8"?>
<comments xmlns="http://schemas.openxmlformats.org/spreadsheetml/2006/main">
  <authors>
    <author>Helena</author>
  </authors>
  <commentList>
    <comment ref="AD10" authorId="0" shapeId="0">
      <text>
        <r>
          <rPr>
            <b/>
            <sz val="9"/>
            <color indexed="81"/>
            <rFont val="Tahoma"/>
            <family val="2"/>
          </rPr>
          <t>Helena:</t>
        </r>
        <r>
          <rPr>
            <sz val="9"/>
            <color indexed="81"/>
            <rFont val="Tahoma"/>
            <family val="2"/>
          </rPr>
          <t xml:space="preserve">
kg tru thue TNCN</t>
        </r>
      </text>
    </comment>
    <comment ref="AD12" authorId="0" shapeId="0">
      <text>
        <r>
          <rPr>
            <b/>
            <sz val="9"/>
            <color indexed="81"/>
            <rFont val="Tahoma"/>
            <family val="2"/>
          </rPr>
          <t>Helena:</t>
        </r>
        <r>
          <rPr>
            <sz val="9"/>
            <color indexed="81"/>
            <rFont val="Tahoma"/>
            <family val="2"/>
          </rPr>
          <t xml:space="preserve">
kg tru thue TNCN</t>
        </r>
      </text>
    </comment>
  </commentList>
</comments>
</file>

<file path=xl/sharedStrings.xml><?xml version="1.0" encoding="utf-8"?>
<sst xmlns="http://schemas.openxmlformats.org/spreadsheetml/2006/main" count="2353" uniqueCount="432">
  <si>
    <t>Total</t>
  </si>
  <si>
    <t>PIT</t>
  </si>
  <si>
    <t>Ngày bắt đầu</t>
  </si>
  <si>
    <t>Self</t>
  </si>
  <si>
    <t>Dependant</t>
  </si>
  <si>
    <t>Tổng/Total</t>
  </si>
  <si>
    <t>Lập bởi/Prepared by</t>
  </si>
  <si>
    <t>Huynh Gia Hong Cat Ha</t>
  </si>
  <si>
    <t xml:space="preserve">               Mẫu số  02-TT</t>
  </si>
  <si>
    <t>(Ban hành theo QĐ số:48/2006/QĐ-BTC</t>
  </si>
  <si>
    <t xml:space="preserve">  ngày 14/9/2006 của Bộ trưởng BTC)</t>
  </si>
  <si>
    <t>đồng</t>
  </si>
  <si>
    <t>(TL)Giám đốc</t>
  </si>
  <si>
    <t>Người thanh toán</t>
  </si>
  <si>
    <t>Người nhận tiền</t>
  </si>
  <si>
    <t>Liên 1</t>
  </si>
  <si>
    <t>STT</t>
  </si>
  <si>
    <t>PHIẾU CHI LƯƠNG</t>
  </si>
  <si>
    <t>TAX ID</t>
  </si>
  <si>
    <t>Hà Ngũ Nguyên Khang</t>
  </si>
  <si>
    <t>Working day</t>
  </si>
  <si>
    <t>Actual</t>
  </si>
  <si>
    <t>AL</t>
  </si>
  <si>
    <t>Lương gộp</t>
  </si>
  <si>
    <t>Gross Salary</t>
  </si>
  <si>
    <t>SI</t>
  </si>
  <si>
    <t>HI</t>
  </si>
  <si>
    <t>UN</t>
  </si>
  <si>
    <t>Total insurance</t>
  </si>
  <si>
    <t>(1)</t>
  </si>
  <si>
    <t>(2)</t>
  </si>
  <si>
    <t>(3)</t>
  </si>
  <si>
    <t>=(1)-(2)-(3)</t>
  </si>
  <si>
    <t>Other deduction</t>
  </si>
  <si>
    <t>Advance</t>
  </si>
  <si>
    <t>Other</t>
  </si>
  <si>
    <t>(4)</t>
  </si>
  <si>
    <t>(5)</t>
  </si>
  <si>
    <t>(6)</t>
  </si>
  <si>
    <t>=(1)-(2)-(4)-(5)-(6)</t>
  </si>
  <si>
    <t>Company insurance</t>
  </si>
  <si>
    <t>Annual Leave</t>
  </si>
  <si>
    <t>Phép Năm</t>
  </si>
  <si>
    <t>Unpaid Leave</t>
  </si>
  <si>
    <t>as policy</t>
  </si>
  <si>
    <t>Balance annual leave</t>
  </si>
  <si>
    <t>till today</t>
  </si>
  <si>
    <t>Remarks</t>
  </si>
  <si>
    <t>Allocated 13th month salary</t>
  </si>
  <si>
    <t>Võ thị Sang</t>
  </si>
  <si>
    <t>( =1.5% on Basic Salary)</t>
  </si>
  <si>
    <t>Huỳnh Hà</t>
  </si>
  <si>
    <t>Tên/Name</t>
  </si>
  <si>
    <t>Lương CB/Basic Salary</t>
  </si>
  <si>
    <t>BHXH/Social Insurance /SI</t>
  </si>
  <si>
    <t>BHYT/Health Insurance/HI</t>
  </si>
  <si>
    <t>BHTN/Unemploy Insuranance/UI</t>
  </si>
  <si>
    <t>( =8.0% on Basic Salary)</t>
  </si>
  <si>
    <t>( =1.0% on Basic Salary)</t>
  </si>
  <si>
    <t>Giảm trừ phụ thuộc/Depandent</t>
  </si>
  <si>
    <t>Giảm trừ bản thân/Deduct Self</t>
  </si>
  <si>
    <t>Tạm ứng/Advance Salary</t>
  </si>
  <si>
    <t>Ke toan</t>
  </si>
  <si>
    <t>Phụ cấp/Allowance /xăng</t>
  </si>
  <si>
    <t>807 970 5309</t>
  </si>
  <si>
    <t>803 464 4328</t>
  </si>
  <si>
    <t>Position</t>
  </si>
  <si>
    <t>Họ và Tên</t>
  </si>
  <si>
    <t>Full Name</t>
  </si>
  <si>
    <t>Previous Y</t>
  </si>
  <si>
    <t>TT Annual Leave</t>
  </si>
  <si>
    <t>TT Annual Leave taken</t>
  </si>
  <si>
    <t>MST CN</t>
  </si>
  <si>
    <t>No</t>
  </si>
  <si>
    <t>Lương CB</t>
  </si>
  <si>
    <t>Phụ cấp</t>
  </si>
  <si>
    <t>Fuel</t>
  </si>
  <si>
    <t>TT Lương</t>
  </si>
  <si>
    <t>TT BHXH</t>
  </si>
  <si>
    <t>TT INSUR</t>
  </si>
  <si>
    <t>TT Gia Canh</t>
  </si>
  <si>
    <t>TT DEPEN</t>
  </si>
  <si>
    <t>TN tính thuế</t>
  </si>
  <si>
    <t>Thuế TNCN</t>
  </si>
  <si>
    <t>Tax Income</t>
  </si>
  <si>
    <t>Join Date</t>
  </si>
  <si>
    <t>Ghi chu 1</t>
  </si>
  <si>
    <t>TIEN MAT</t>
  </si>
  <si>
    <t>No dep</t>
  </si>
  <si>
    <t>Huỳnh Gia Hồng Cát Hà</t>
  </si>
  <si>
    <t>030 539 7335</t>
  </si>
  <si>
    <t>Thue TNCN/Tax PIT</t>
  </si>
  <si>
    <t>TNCN/Personal Income</t>
  </si>
  <si>
    <t>Thực chuyển NH/Payment via Bank</t>
  </si>
  <si>
    <t>TNCN tính thuế = Tổng TNCN – Các khoản giảm trừ</t>
  </si>
  <si>
    <t>Thuế TNCN = TNCN tính thuế  x  Tỉ lệ thuế theo biểu thuế</t>
  </si>
  <si>
    <t>Ghi chu 2</t>
  </si>
  <si>
    <t>Ghi chu 3</t>
  </si>
  <si>
    <t>Phụ cấp/Allowance</t>
  </si>
  <si>
    <t>Phụ cấp/Allowance /hoa hồng</t>
  </si>
  <si>
    <t>MS SANG+MR NK</t>
  </si>
  <si>
    <t>Bộ phận</t>
  </si>
  <si>
    <t>Dept</t>
  </si>
  <si>
    <t>Số ngày làm việc</t>
  </si>
  <si>
    <t>CHUYEN KHOAN VCB</t>
  </si>
  <si>
    <t>Liên 2</t>
  </si>
  <si>
    <t>CV</t>
  </si>
  <si>
    <t>TO:</t>
  </si>
  <si>
    <t>FROM:</t>
  </si>
  <si>
    <t>Ghi chu 4</t>
  </si>
  <si>
    <t>Bank Acc</t>
  </si>
  <si>
    <t>Bank Name</t>
  </si>
  <si>
    <t>Trịnh thị Thùy Trang</t>
  </si>
  <si>
    <t>834 089 1541</t>
  </si>
  <si>
    <t>Nguyễn thị Ngọc Thiện</t>
  </si>
  <si>
    <t>843 935 3775</t>
  </si>
  <si>
    <t>Hà Ngũ Duy</t>
  </si>
  <si>
    <t>843 935 3782</t>
  </si>
  <si>
    <t>Ngô Nguyên Thụy</t>
  </si>
  <si>
    <t>813 209 9335</t>
  </si>
  <si>
    <t>Trương Hoàng Duy</t>
  </si>
  <si>
    <t>031 028 2315</t>
  </si>
  <si>
    <t>Bùi thị Nhã Trang</t>
  </si>
  <si>
    <t>832 203 4142</t>
  </si>
  <si>
    <t>Hồ Đắc Tín</t>
  </si>
  <si>
    <t>839 724 0061</t>
  </si>
  <si>
    <t>Bùi Thiện Tân</t>
  </si>
  <si>
    <t>832 892 5787</t>
  </si>
  <si>
    <t>Đặng Trung Dũng</t>
  </si>
  <si>
    <t>HPH</t>
  </si>
  <si>
    <t>010 260 2532</t>
  </si>
  <si>
    <t>Đặng Lợi Dũng</t>
  </si>
  <si>
    <t>010 266 1009</t>
  </si>
  <si>
    <t>Phạm thị Thanh Hương</t>
  </si>
  <si>
    <t>830 536 2707</t>
  </si>
  <si>
    <r>
      <rPr>
        <sz val="10"/>
        <rFont val="Calibri"/>
        <family val="2"/>
        <charset val="163"/>
      </rPr>
      <t>Tên:</t>
    </r>
    <r>
      <rPr>
        <b/>
        <sz val="10"/>
        <rFont val="Calibri"/>
        <family val="2"/>
        <charset val="163"/>
      </rPr>
      <t xml:space="preserve"> CTY TNHH TIẾP VẬN </t>
    </r>
    <r>
      <rPr>
        <b/>
        <sz val="10"/>
        <color indexed="10"/>
        <rFont val="Calibri"/>
        <family val="2"/>
        <charset val="163"/>
      </rPr>
      <t>LOGI</t>
    </r>
    <r>
      <rPr>
        <b/>
        <sz val="10"/>
        <rFont val="Calibri"/>
        <family val="2"/>
        <charset val="163"/>
      </rPr>
      <t>WORLD VIỆT NAM</t>
    </r>
  </si>
  <si>
    <t>MST: 0312483105 -Địa chỉ: Số 05, Đống Đa, Phường 02, Quận Tân Bình, TP.HCM</t>
  </si>
  <si>
    <t>VIETCOMBANK-CN Đông Sài Gòn-PGD Trường Sơn-VND: 053 1002 474361 -USD: 053 1372 474362</t>
  </si>
  <si>
    <r>
      <t>Tên: CTY TNHH TIẾP VẬN</t>
    </r>
    <r>
      <rPr>
        <b/>
        <sz val="10"/>
        <color rgb="FFFF0000"/>
        <rFont val="Calibri"/>
        <family val="2"/>
        <charset val="163"/>
        <scheme val="minor"/>
      </rPr>
      <t xml:space="preserve"> LOGI</t>
    </r>
    <r>
      <rPr>
        <b/>
        <sz val="10"/>
        <rFont val="Calibri"/>
        <family val="2"/>
        <charset val="163"/>
        <scheme val="minor"/>
      </rPr>
      <t>WORLD VIỆT NAM</t>
    </r>
  </si>
  <si>
    <r>
      <t xml:space="preserve">CÔNG TY TNHH TIẾP VẬN </t>
    </r>
    <r>
      <rPr>
        <b/>
        <sz val="11"/>
        <color rgb="FFFF0000"/>
        <rFont val="Calibri"/>
        <family val="2"/>
        <charset val="163"/>
        <scheme val="minor"/>
      </rPr>
      <t>LOGI</t>
    </r>
    <r>
      <rPr>
        <b/>
        <sz val="11"/>
        <rFont val="Calibri"/>
        <family val="2"/>
        <charset val="163"/>
        <scheme val="minor"/>
      </rPr>
      <t>WORLD VIỆT NAM</t>
    </r>
  </si>
  <si>
    <t>VCB-HCM</t>
  </si>
  <si>
    <t>VCB-CN DONG SAI GON</t>
  </si>
  <si>
    <t>TECHCOMBANK-HCM</t>
  </si>
  <si>
    <t>VCB-CN CAM LAM- KHANH HOA</t>
  </si>
  <si>
    <t>VCB-CN TAN BINH</t>
  </si>
  <si>
    <t>Đơn vị</t>
  </si>
  <si>
    <t>Unit</t>
  </si>
  <si>
    <t>Bắt đầu</t>
  </si>
  <si>
    <t>GA</t>
  </si>
  <si>
    <t>Basic Salary</t>
  </si>
  <si>
    <t>GA-MD</t>
  </si>
  <si>
    <t>Other Salary</t>
  </si>
  <si>
    <t>Total
Salary</t>
  </si>
  <si>
    <t>Bonus</t>
  </si>
  <si>
    <t>Other Allowance</t>
  </si>
  <si>
    <t>Net take home</t>
  </si>
  <si>
    <t>Thực nhận</t>
  </si>
  <si>
    <t>Phi BH Cty</t>
  </si>
  <si>
    <t>Tổng BH</t>
  </si>
  <si>
    <t>Lương T13</t>
  </si>
  <si>
    <t>Bank</t>
  </si>
  <si>
    <t>Cash</t>
  </si>
  <si>
    <t>GA-BD</t>
  </si>
  <si>
    <t>GA-ACC</t>
  </si>
  <si>
    <t>Nguyễn thị Hà Thu</t>
  </si>
  <si>
    <t>LGL</t>
  </si>
  <si>
    <t>LGL-ACC</t>
  </si>
  <si>
    <t>811 153 6619</t>
  </si>
  <si>
    <t>LGX</t>
  </si>
  <si>
    <t>LGX-ACC</t>
  </si>
  <si>
    <t>LGX-CS</t>
  </si>
  <si>
    <t>HPH-BD</t>
  </si>
  <si>
    <t>VIETCOMBANK HANOI</t>
  </si>
  <si>
    <t>VIETCOMBANK HAI PHONG</t>
  </si>
  <si>
    <t>HPH-AM</t>
  </si>
  <si>
    <t>BIDV-CN DONG HAI PHONG</t>
  </si>
  <si>
    <t>Giảm trừ Gia cảnh/ Dependant</t>
  </si>
  <si>
    <t>Giảm trừ BHXH / Insurance</t>
  </si>
  <si>
    <t>Phụ cấp/Allowance /khác</t>
  </si>
  <si>
    <t>MST 0312483105</t>
  </si>
  <si>
    <r>
      <rPr>
        <b/>
        <sz val="11"/>
        <color indexed="10"/>
        <rFont val="Calibri"/>
        <family val="2"/>
        <charset val="163"/>
      </rPr>
      <t>LOGI</t>
    </r>
    <r>
      <rPr>
        <b/>
        <sz val="11"/>
        <rFont val="Calibri"/>
        <family val="2"/>
        <charset val="163"/>
      </rPr>
      <t>WORLD VIET NAM CO.,LTD</t>
    </r>
  </si>
  <si>
    <t>SỐ 05 , ĐỐNG ĐA, PHƯỜNG 02, QUẬN TÂN BÌNH, TP. HCM</t>
  </si>
  <si>
    <t>TEL: 84-28-35474014 FAX: 84-28-35474018 -www.logiworld.vn</t>
  </si>
  <si>
    <t>Ghi chu 5</t>
  </si>
  <si>
    <t>Cash / 
Remit</t>
  </si>
  <si>
    <t>VND: 053 1000 297 890 - USD: 053 1370 297 891-SWIFT CODE BFTVVNVX053</t>
  </si>
  <si>
    <t>DC: SỐ 46 TRƯỜNG SƠN, PHƯỜNG 2, QUẬN TÂN BÌNH, TP.HCM</t>
  </si>
  <si>
    <t>AGRIBANK -CN TRƯỜNG SƠN (NH NNo&amp;PTNT VIỆT NAM)</t>
  </si>
  <si>
    <t>VND: 160 820 100 5855   - SWIFT CODE: VBAAVNVX</t>
  </si>
  <si>
    <t>DC: SỐ 26 TRƯỜNG SƠN, PHƯỜNG 2, QUẬN TÂN BÌNH, TP.HCM</t>
  </si>
  <si>
    <t>VND: 2209 1485 1051 809 - USD: 2209 1485 1051 812-SWIFT CODE: EBVIVNVXTRS</t>
  </si>
  <si>
    <t>DC: SỐ 39B TRƯỜNG SƠN, PHƯỜNG 2, QUẬN TÂN BÌNH, TP.HCM</t>
  </si>
  <si>
    <t>LGL-OPS</t>
  </si>
  <si>
    <t>LGL-S&amp;M</t>
  </si>
  <si>
    <t>LGX-S&amp;M</t>
  </si>
  <si>
    <t>HPH-S&amp;M</t>
  </si>
  <si>
    <t>www.logiworld.vn</t>
  </si>
  <si>
    <t>LGL-WH</t>
  </si>
  <si>
    <t>831 675 9711</t>
  </si>
  <si>
    <t>Lường Văn Hưng</t>
  </si>
  <si>
    <t>VCB-CN THUAN AN</t>
  </si>
  <si>
    <t>AGRIBANK-CN TRUONG SON</t>
  </si>
  <si>
    <t>VCB -CN ĐÔNG SÀI GÒN-PGD HỒNG HÀ (NH TMCP NGOẠI THƯƠNG VN)</t>
  </si>
  <si>
    <t>DC: SỐ 108 HỒNG HÀ, PHƯỜNG 2, QUẬN TÂN BÌNH, TP.HCM</t>
  </si>
  <si>
    <t>EXIMBANK - PGD TRƯỜNG SƠN  (NH TM CP XNK VIỆT NAM-CN PGD TRƯỜNG SƠN)</t>
  </si>
  <si>
    <t>CITI BANK HCM</t>
  </si>
  <si>
    <t>LGL-DOM</t>
  </si>
  <si>
    <t>Trần thị Trinh</t>
  </si>
  <si>
    <t>Bùi thị Huyền</t>
  </si>
  <si>
    <t>SHINHAN BANK VIET NAM-CN BINH DUONG</t>
  </si>
  <si>
    <t>700 009 599 596</t>
  </si>
  <si>
    <t>Nguyễn Văn Đệ</t>
  </si>
  <si>
    <t>804 621 2227</t>
  </si>
  <si>
    <t>213 740 249</t>
  </si>
  <si>
    <t>ACB-CN THU DUC</t>
  </si>
  <si>
    <t>TECHOMBANK HAIPHONG</t>
  </si>
  <si>
    <r>
      <rPr>
        <b/>
        <sz val="9"/>
        <rFont val="Calibri"/>
        <family val="2"/>
        <charset val="163"/>
      </rPr>
      <t>VIETCOMBANK</t>
    </r>
    <r>
      <rPr>
        <sz val="9"/>
        <rFont val="Calibri"/>
        <family val="2"/>
        <charset val="163"/>
      </rPr>
      <t>-CN Đông Sài Gòn-PGD Hồng Hà-</t>
    </r>
    <r>
      <rPr>
        <b/>
        <sz val="9"/>
        <rFont val="Calibri"/>
        <family val="2"/>
        <charset val="163"/>
      </rPr>
      <t>VND</t>
    </r>
    <r>
      <rPr>
        <sz val="9"/>
        <rFont val="Calibri"/>
        <family val="2"/>
        <charset val="163"/>
      </rPr>
      <t>: 053 100 2474361 -</t>
    </r>
    <r>
      <rPr>
        <b/>
        <sz val="9"/>
        <rFont val="Calibri"/>
        <family val="2"/>
        <charset val="163"/>
      </rPr>
      <t>USD:</t>
    </r>
    <r>
      <rPr>
        <sz val="9"/>
        <rFont val="Calibri"/>
        <family val="2"/>
        <charset val="163"/>
      </rPr>
      <t xml:space="preserve"> 053 137 2474362</t>
    </r>
  </si>
  <si>
    <t>PN</t>
  </si>
  <si>
    <t>007 100 295 2125</t>
  </si>
  <si>
    <t>100 040 4141</t>
  </si>
  <si>
    <t>007 100 149 6521</t>
  </si>
  <si>
    <t>053 100 249 2031</t>
  </si>
  <si>
    <t>028 100 049 5069</t>
  </si>
  <si>
    <t>160 820 518 1883</t>
  </si>
  <si>
    <t>190 205 222 24016</t>
  </si>
  <si>
    <t>044 100 061 6397</t>
  </si>
  <si>
    <t>053 100 248 6039</t>
  </si>
  <si>
    <t>053 100 029 8743</t>
  </si>
  <si>
    <t>053 100 029 7068</t>
  </si>
  <si>
    <t>053 100 250 0850</t>
  </si>
  <si>
    <t>058 100 074 0942</t>
  </si>
  <si>
    <t>001 100 096 9411</t>
  </si>
  <si>
    <t>003 100 022 9818</t>
  </si>
  <si>
    <t>323 100 001 69393</t>
  </si>
  <si>
    <t>190 334 145 82016</t>
  </si>
  <si>
    <t>Tên nhân viên</t>
  </si>
  <si>
    <t>Lương CB theo tháng (vnd/tháng)</t>
  </si>
  <si>
    <t>Phụ cấp tháng (vnd/tháng)</t>
  </si>
  <si>
    <t>Tổng giảm trừ BHXH (10.5%)</t>
  </si>
  <si>
    <t>Tổng lương (vnd)</t>
  </si>
  <si>
    <t>TN bi tính thuế</t>
  </si>
  <si>
    <t>Thực nhận
(vnd)</t>
  </si>
  <si>
    <t>8=1+2+3-4-7</t>
  </si>
  <si>
    <t>NAM 2018</t>
  </si>
  <si>
    <t>CHINH SACH 7%</t>
  </si>
  <si>
    <t>Y2019 approve 12%</t>
  </si>
  <si>
    <t>Y2019 approve 10%</t>
  </si>
  <si>
    <t>Y2019 approve 15%</t>
  </si>
  <si>
    <t>LOGIWORLD VIET NAM 2019T04</t>
  </si>
  <si>
    <t>H G H CAT HA</t>
  </si>
  <si>
    <t>H  N NGUYEN KHANG</t>
  </si>
  <si>
    <t>V T SANG</t>
  </si>
  <si>
    <t>Y2019 approve 7%</t>
  </si>
  <si>
    <t>T T THUY TRANG</t>
  </si>
  <si>
    <t>LUONG V HUNG</t>
  </si>
  <si>
    <t>N N THUONG</t>
  </si>
  <si>
    <t>TRAN THI HONG CHI</t>
  </si>
  <si>
    <t>LE VAN DUC</t>
  </si>
  <si>
    <t>BUI THI HUYEN</t>
  </si>
  <si>
    <t>NGUYEN VAN DE</t>
  </si>
  <si>
    <t>N T NGOC THIEN</t>
  </si>
  <si>
    <t>Y2019 approve 17%</t>
  </si>
  <si>
    <t>N T HA THU</t>
  </si>
  <si>
    <t>TRUONG HOANG DUY</t>
  </si>
  <si>
    <t>HO DAC TIN</t>
  </si>
  <si>
    <t>BUI THIEN TAN</t>
  </si>
  <si>
    <t>NGO NGUYEN THUY</t>
  </si>
  <si>
    <t>B T NHA TRANG</t>
  </si>
  <si>
    <t>HA NGU DUY</t>
  </si>
  <si>
    <t>DANG TRUNG DUNG</t>
  </si>
  <si>
    <t>DANG LOI DUNG</t>
  </si>
  <si>
    <t>TRAN THI TRINH</t>
  </si>
  <si>
    <t>Y2019 approve 0%</t>
  </si>
  <si>
    <t>Y2019 approve 11.8%</t>
  </si>
  <si>
    <t>Y2019 approve 5%</t>
  </si>
  <si>
    <t>LUONG V HUNG A</t>
  </si>
  <si>
    <t>CHINH SACH 5%</t>
  </si>
  <si>
    <t>2019 duyet 10%</t>
  </si>
  <si>
    <t>Y2019 approve 0</t>
  </si>
  <si>
    <t>850 972 0559</t>
  </si>
  <si>
    <t>Nguyễn Khánh Tâm</t>
  </si>
  <si>
    <t>844 279 5163</t>
  </si>
  <si>
    <t>Nguyễn Hà Long</t>
  </si>
  <si>
    <t>845 255 1504</t>
  </si>
  <si>
    <t>006 1001 039 097</t>
  </si>
  <si>
    <t>854 857 0875</t>
  </si>
  <si>
    <t>VCB-NHA TRANG- KHANH HOA</t>
  </si>
  <si>
    <t>Đào Văn Hướng</t>
  </si>
  <si>
    <t>DONG A-CN BINH DUONG</t>
  </si>
  <si>
    <t>011 0791 107</t>
  </si>
  <si>
    <t>858 679 5220</t>
  </si>
  <si>
    <t>Lê thị Thu Uyên</t>
  </si>
  <si>
    <t>430 6205 335 741</t>
  </si>
  <si>
    <t>AGRIBANK</t>
  </si>
  <si>
    <t>Lê Đình Hiệp</t>
  </si>
  <si>
    <t>851 548 0778</t>
  </si>
  <si>
    <t>102 003 558 237</t>
  </si>
  <si>
    <t>VIETTINBANK</t>
  </si>
  <si>
    <t>Hoàng Vũ Linh</t>
  </si>
  <si>
    <t>PUD</t>
  </si>
  <si>
    <t>811 916 6920</t>
  </si>
  <si>
    <t>tam ung</t>
  </si>
  <si>
    <t>053 100 248 3558</t>
  </si>
  <si>
    <t>Nguyễn Huy Khanh</t>
  </si>
  <si>
    <t>840 989 1737</t>
  </si>
  <si>
    <t>053 100 250 6000</t>
  </si>
  <si>
    <t>864 576 3671</t>
  </si>
  <si>
    <t>BHXH</t>
  </si>
  <si>
    <t>BHYT</t>
  </si>
  <si>
    <t>BHTN</t>
  </si>
  <si>
    <t>%</t>
  </si>
  <si>
    <t>Min</t>
  </si>
  <si>
    <t>Max</t>
  </si>
  <si>
    <t>DN</t>
  </si>
  <si>
    <t>NLD</t>
  </si>
  <si>
    <t>Labour Union</t>
  </si>
  <si>
    <t>(vnd 11,000,000/ person )</t>
  </si>
  <si>
    <t>Nguyễn Thành Lâm</t>
  </si>
  <si>
    <t>017 130 87401</t>
  </si>
  <si>
    <t>TB BANK</t>
  </si>
  <si>
    <r>
      <rPr>
        <b/>
        <sz val="16"/>
        <rFont val="Calibri"/>
        <family val="2"/>
        <charset val="163"/>
      </rPr>
      <t>BẢNG LƯƠN</t>
    </r>
    <r>
      <rPr>
        <b/>
        <sz val="16"/>
        <rFont val="Calibri"/>
        <family val="2"/>
      </rPr>
      <t>G-T</t>
    </r>
    <r>
      <rPr>
        <b/>
        <sz val="16"/>
        <color indexed="10"/>
        <rFont val="Calibri"/>
        <family val="2"/>
        <charset val="163"/>
      </rPr>
      <t xml:space="preserve">11/2020 </t>
    </r>
    <r>
      <rPr>
        <b/>
        <sz val="16"/>
        <rFont val="Calibri"/>
        <family val="2"/>
        <charset val="163"/>
      </rPr>
      <t>(PAYROLL-</t>
    </r>
    <r>
      <rPr>
        <b/>
        <sz val="16"/>
        <color rgb="FFFF0000"/>
        <rFont val="Calibri"/>
        <family val="2"/>
      </rPr>
      <t>NOV.2020</t>
    </r>
    <r>
      <rPr>
        <b/>
        <sz val="16"/>
        <rFont val="Calibri"/>
        <family val="2"/>
        <charset val="163"/>
      </rPr>
      <t>)</t>
    </r>
  </si>
  <si>
    <t>809 260 7269</t>
  </si>
  <si>
    <t>phụ cấp công việc T11/2020</t>
  </si>
  <si>
    <t>Bonus LGX T10/2020 theo bảng kê</t>
  </si>
  <si>
    <t>phụ cấp xăng T11/2020</t>
  </si>
  <si>
    <t>phụ cấp OTLD T11/2020 theo bảng kê</t>
  </si>
  <si>
    <t>chi phi Isuzu T11/2020 theo bảng kê</t>
  </si>
  <si>
    <t>LGP hoan thue TNCN 2019</t>
  </si>
  <si>
    <t>TONG CONG T11/20</t>
  </si>
  <si>
    <t>000 101 658 4706</t>
  </si>
  <si>
    <r>
      <rPr>
        <b/>
        <sz val="16"/>
        <rFont val="Calibri"/>
        <family val="2"/>
        <charset val="163"/>
      </rPr>
      <t>BẢNG LƯƠN</t>
    </r>
    <r>
      <rPr>
        <b/>
        <sz val="16"/>
        <rFont val="Calibri"/>
        <family val="2"/>
      </rPr>
      <t>G-T</t>
    </r>
    <r>
      <rPr>
        <b/>
        <sz val="16"/>
        <color indexed="10"/>
        <rFont val="Calibri"/>
        <family val="2"/>
        <charset val="163"/>
      </rPr>
      <t xml:space="preserve">12/2020 </t>
    </r>
    <r>
      <rPr>
        <b/>
        <sz val="16"/>
        <rFont val="Calibri"/>
        <family val="2"/>
        <charset val="163"/>
      </rPr>
      <t>(PAYROLL-</t>
    </r>
    <r>
      <rPr>
        <b/>
        <sz val="16"/>
        <color rgb="FFFF0000"/>
        <rFont val="Calibri"/>
        <family val="2"/>
      </rPr>
      <t>DEC.2020</t>
    </r>
    <r>
      <rPr>
        <b/>
        <sz val="16"/>
        <rFont val="Calibri"/>
        <family val="2"/>
        <charset val="163"/>
      </rPr>
      <t>)</t>
    </r>
  </si>
  <si>
    <t>Salary T13/2020</t>
  </si>
  <si>
    <t>phụ cấp công việc T12/2020</t>
  </si>
  <si>
    <t>Bonus LGX T11/2020 theo bảng kê</t>
  </si>
  <si>
    <t>phụ cấp xăng T12/2020</t>
  </si>
  <si>
    <t>phụ cấp OTLD T12/2020 theo bảng kê</t>
  </si>
  <si>
    <t>chi phi Isuzu T12/2020 theo bảng kê</t>
  </si>
  <si>
    <t>phu cap T13/2020 (50,000,000/12*12)</t>
  </si>
  <si>
    <t>phu cap T13/2020 (57,000,000/12*12)</t>
  </si>
  <si>
    <t>phu cap T13/2020 (16,800,000/12*12)</t>
  </si>
  <si>
    <t>phu cap T13/2020 (9,400,000/12*12)</t>
  </si>
  <si>
    <t>phu cap T13/2020 (13,500,000/12*12)</t>
  </si>
  <si>
    <t>phu cap T13/2020 (6500000/12*9)+(7150000/12*3)</t>
  </si>
  <si>
    <t>phu cap T13/2020 (16,000,000/12*12)</t>
  </si>
  <si>
    <t>phu cap T13/2020 (8950000/12*3)+(10150000/12*9)</t>
  </si>
  <si>
    <t>phu cap T13/2020 (7,000,000/12*12)</t>
  </si>
  <si>
    <t>phu cap T13/2020 (5,500,000/12*10)</t>
  </si>
  <si>
    <t>phu cap T13/2020 (5,000,000/12*12)</t>
  </si>
  <si>
    <t>phu cap T13/2020 (11,000,000/12*4)+(11,200,000/12*8)</t>
  </si>
  <si>
    <t>phu cap T13/2020 (14550000/12*6)+(15250000/12*6)</t>
  </si>
  <si>
    <t>phu cap T13/2020 (6,650,000/12*12)</t>
  </si>
  <si>
    <t>phu cap T13/2020 (9,780,000/12*12)</t>
  </si>
  <si>
    <t>phu cap T13/2020 (7,750,000/12*12)</t>
  </si>
  <si>
    <t>phu cap T13/2020 (11450000/12*8)+(12850000/12*4)</t>
  </si>
  <si>
    <t>phu cap T13/2020 (9200000/12*3)+(10400000/12*9)</t>
  </si>
  <si>
    <t>phu cap T13/2020 (7,400,000/12*12)</t>
  </si>
  <si>
    <t>phu cap T13/2020 (8,800,000/12*4)</t>
  </si>
  <si>
    <t>LGW hoan thue TNCN 2019</t>
  </si>
  <si>
    <t>TONG CONG T12/20</t>
  </si>
  <si>
    <t>phu cap theo bang ke T12/2020</t>
  </si>
  <si>
    <t>Extra Holiday</t>
  </si>
  <si>
    <t>Ghi chu 2a</t>
  </si>
  <si>
    <t>phu cap Tet Duong Lich</t>
  </si>
  <si>
    <t>MST 0 3 1 2 4 8 3 1 0 5</t>
  </si>
  <si>
    <t>VND: 053 1000 297 890 - USD: 053 1370 297 891 - SWIFT CODE BFTVVNVX053</t>
  </si>
  <si>
    <t>TEL: 84-28-35474014   FAX: 84-28-35474018   -  www.logiworld.vn</t>
  </si>
  <si>
    <t>DC: SỐ 108 HỒNG HÀ, PHƯỜNG 2, QUẬN TÂN BÌNH, THÀNH PHỐ HỒ CHÍ MINH</t>
  </si>
  <si>
    <t>Đoàn thị Hoa</t>
  </si>
  <si>
    <t>LGL-DRI</t>
  </si>
  <si>
    <t>865 524 0611</t>
  </si>
  <si>
    <t>190 361 885 10014</t>
  </si>
  <si>
    <t>TECHOMBANK CN THUAN KIEU</t>
  </si>
  <si>
    <r>
      <rPr>
        <sz val="9"/>
        <rFont val="Calibri"/>
        <family val="2"/>
        <charset val="163"/>
      </rPr>
      <t xml:space="preserve">MST: </t>
    </r>
    <r>
      <rPr>
        <b/>
        <sz val="9"/>
        <rFont val="Calibri"/>
        <family val="2"/>
        <charset val="163"/>
      </rPr>
      <t>0 3 1 2 4 8 3 1 0 5</t>
    </r>
    <r>
      <rPr>
        <sz val="9"/>
        <rFont val="Calibri"/>
        <family val="2"/>
        <charset val="163"/>
      </rPr>
      <t xml:space="preserve"> -Địa chỉ: </t>
    </r>
    <r>
      <rPr>
        <b/>
        <sz val="9"/>
        <rFont val="Calibri"/>
        <family val="2"/>
        <charset val="163"/>
      </rPr>
      <t>Số 05, Đống Đa, Phường 02, Quận Tân Bình, TP.HCM</t>
    </r>
  </si>
  <si>
    <t>VND: 053 1000 297890  -  USD: 053 1370 297891  -  SWIFT CODE BFTVVNVX053</t>
  </si>
  <si>
    <t>Other Allowance1</t>
  </si>
  <si>
    <t>Other Allowance2</t>
  </si>
  <si>
    <t>Cash 
Remit</t>
  </si>
  <si>
    <t>phụ cấp công việc T01/2021</t>
  </si>
  <si>
    <t>phụ cấp Tết Âm Lịch 2021</t>
  </si>
  <si>
    <t>phụ cấp LGX T12/2020 theo bảng kê</t>
  </si>
  <si>
    <t>phụ cấp LGX Q3/2020 theo bảng kê</t>
  </si>
  <si>
    <t>phụ cấp xăng T01/2021</t>
  </si>
  <si>
    <r>
      <rPr>
        <b/>
        <sz val="16"/>
        <rFont val="Calibri"/>
        <family val="2"/>
        <charset val="163"/>
      </rPr>
      <t>BẢNG LƯƠN</t>
    </r>
    <r>
      <rPr>
        <b/>
        <sz val="16"/>
        <rFont val="Calibri"/>
        <family val="2"/>
      </rPr>
      <t>G-T</t>
    </r>
    <r>
      <rPr>
        <b/>
        <sz val="16"/>
        <color rgb="FFFF0000"/>
        <rFont val="Calibri"/>
        <family val="2"/>
      </rPr>
      <t>01/</t>
    </r>
    <r>
      <rPr>
        <b/>
        <sz val="16"/>
        <color indexed="10"/>
        <rFont val="Calibri"/>
        <family val="2"/>
        <charset val="163"/>
      </rPr>
      <t xml:space="preserve">2021 </t>
    </r>
    <r>
      <rPr>
        <b/>
        <sz val="16"/>
        <rFont val="Calibri"/>
        <family val="2"/>
        <charset val="163"/>
      </rPr>
      <t>(PAYROLL-</t>
    </r>
    <r>
      <rPr>
        <b/>
        <sz val="16"/>
        <color rgb="FFFF0000"/>
        <rFont val="Calibri"/>
        <family val="2"/>
      </rPr>
      <t>JAN.2021</t>
    </r>
    <r>
      <rPr>
        <b/>
        <sz val="16"/>
        <rFont val="Calibri"/>
        <family val="2"/>
        <charset val="163"/>
      </rPr>
      <t>)</t>
    </r>
  </si>
  <si>
    <t>phụ cấp PUD T01/2021 theo bảng kê</t>
  </si>
  <si>
    <t>phụ cấp OTLD T01/2021 theo bảng kê</t>
  </si>
  <si>
    <t>phụ cấp Isuzu T01/2021 theo bảng kê</t>
  </si>
  <si>
    <t>TONG CONG T01/21</t>
  </si>
  <si>
    <r>
      <rPr>
        <b/>
        <sz val="16"/>
        <rFont val="Calibri"/>
        <family val="2"/>
        <charset val="163"/>
      </rPr>
      <t>BẢNG LƯƠN</t>
    </r>
    <r>
      <rPr>
        <b/>
        <sz val="16"/>
        <rFont val="Calibri"/>
        <family val="2"/>
      </rPr>
      <t>G-T</t>
    </r>
    <r>
      <rPr>
        <b/>
        <sz val="16"/>
        <color rgb="FFFF0000"/>
        <rFont val="Calibri"/>
        <family val="2"/>
      </rPr>
      <t>02/</t>
    </r>
    <r>
      <rPr>
        <b/>
        <sz val="16"/>
        <color indexed="10"/>
        <rFont val="Calibri"/>
        <family val="2"/>
        <charset val="163"/>
      </rPr>
      <t xml:space="preserve">2021 </t>
    </r>
    <r>
      <rPr>
        <b/>
        <sz val="16"/>
        <rFont val="Calibri"/>
        <family val="2"/>
        <charset val="163"/>
      </rPr>
      <t>(PAYROLL-</t>
    </r>
    <r>
      <rPr>
        <b/>
        <sz val="16"/>
        <color rgb="FFFF0000"/>
        <rFont val="Calibri"/>
        <family val="2"/>
      </rPr>
      <t>FEB.2021</t>
    </r>
    <r>
      <rPr>
        <b/>
        <sz val="16"/>
        <rFont val="Calibri"/>
        <family val="2"/>
        <charset val="163"/>
      </rPr>
      <t>)</t>
    </r>
  </si>
  <si>
    <t>phụ cấp công việc T02/2021</t>
  </si>
  <si>
    <t>phụ cấp PUD T02/2021 theo bảng kê</t>
  </si>
  <si>
    <t>phụ cấp LGX T01/2021 theo bảng kê</t>
  </si>
  <si>
    <t>phụ cấp xăng T02/2021</t>
  </si>
  <si>
    <t>phụ cấp OTLD T02/2021 theo bảng kê</t>
  </si>
  <si>
    <t>phụ cấp Isuzu T02/2021 theo bảng kê</t>
  </si>
  <si>
    <t>TONG CONG T02/21</t>
  </si>
  <si>
    <t>13 ngày công thực tế T02/2021 (Luong /22 ngay x 13 ngay)</t>
  </si>
  <si>
    <t>8 ngày công thực tế T02/2021 (Luong /22 ngay x 8 ngay)</t>
  </si>
  <si>
    <r>
      <rPr>
        <b/>
        <sz val="16"/>
        <rFont val="Calibri"/>
        <family val="2"/>
        <charset val="163"/>
      </rPr>
      <t>BẢNG LƯƠN</t>
    </r>
    <r>
      <rPr>
        <b/>
        <sz val="16"/>
        <rFont val="Calibri"/>
        <family val="2"/>
      </rPr>
      <t>G-T</t>
    </r>
    <r>
      <rPr>
        <b/>
        <sz val="16"/>
        <color rgb="FFFF0000"/>
        <rFont val="Calibri"/>
        <family val="2"/>
      </rPr>
      <t>03/</t>
    </r>
    <r>
      <rPr>
        <b/>
        <sz val="16"/>
        <color indexed="10"/>
        <rFont val="Calibri"/>
        <family val="2"/>
        <charset val="163"/>
      </rPr>
      <t xml:space="preserve">2021 </t>
    </r>
    <r>
      <rPr>
        <b/>
        <sz val="16"/>
        <rFont val="Calibri"/>
        <family val="2"/>
        <charset val="163"/>
      </rPr>
      <t>(PAYROLL-</t>
    </r>
    <r>
      <rPr>
        <b/>
        <sz val="16"/>
        <color rgb="FFFF0000"/>
        <rFont val="Calibri"/>
        <family val="2"/>
      </rPr>
      <t>MAR.2021</t>
    </r>
    <r>
      <rPr>
        <b/>
        <sz val="16"/>
        <rFont val="Calibri"/>
        <family val="2"/>
        <charset val="163"/>
      </rPr>
      <t>)</t>
    </r>
  </si>
  <si>
    <t>Nguyễn Ngọc Thạch</t>
  </si>
  <si>
    <t>851 966 2514</t>
  </si>
  <si>
    <t>Đặng Tấn Toàn</t>
  </si>
  <si>
    <t>phụ cấp công việc T03/2021</t>
  </si>
  <si>
    <t>phụ cấp OTLD T03/2021 theo bảng kê</t>
  </si>
  <si>
    <t>827 573 8484</t>
  </si>
  <si>
    <t>190 274 322 14016</t>
  </si>
  <si>
    <t>TECHOMBANK-TAN SON NHAT</t>
  </si>
  <si>
    <t>Nguyễn thị Như Ý</t>
  </si>
  <si>
    <t>833 353 7613</t>
  </si>
  <si>
    <t>028 100 036 0442</t>
  </si>
  <si>
    <t>VIETCOMBANK-CN THUAN AN, BINH DUONG</t>
  </si>
  <si>
    <t>L=(8tr5+600k)*10/25 (10 ngày tu 15.03.21 den 25.03.21)</t>
  </si>
  <si>
    <t>phụ cấp Isuzu T03/2021 theo bảng kê</t>
  </si>
  <si>
    <t>017 410 63101</t>
  </si>
  <si>
    <t>TP BANK-CN TRUNG CHANH, HOC MON</t>
  </si>
  <si>
    <t>TONG CONG T03/21</t>
  </si>
  <si>
    <t>MS Y</t>
  </si>
  <si>
    <r>
      <rPr>
        <b/>
        <sz val="16"/>
        <rFont val="Calibri"/>
        <family val="2"/>
        <charset val="163"/>
      </rPr>
      <t>BẢNG LƯƠN</t>
    </r>
    <r>
      <rPr>
        <b/>
        <sz val="16"/>
        <rFont val="Calibri"/>
        <family val="2"/>
      </rPr>
      <t>G-T</t>
    </r>
    <r>
      <rPr>
        <b/>
        <sz val="16"/>
        <color rgb="FFFF0000"/>
        <rFont val="Calibri"/>
        <family val="2"/>
      </rPr>
      <t>04/</t>
    </r>
    <r>
      <rPr>
        <b/>
        <sz val="16"/>
        <color indexed="10"/>
        <rFont val="Calibri"/>
        <family val="2"/>
        <charset val="163"/>
      </rPr>
      <t xml:space="preserve">2021 </t>
    </r>
    <r>
      <rPr>
        <b/>
        <sz val="16"/>
        <rFont val="Calibri"/>
        <family val="2"/>
        <charset val="163"/>
      </rPr>
      <t>(PAYROLL-</t>
    </r>
    <r>
      <rPr>
        <b/>
        <sz val="16"/>
        <color rgb="FFFF0000"/>
        <rFont val="Calibri"/>
        <family val="2"/>
      </rPr>
      <t>APR.2021</t>
    </r>
    <r>
      <rPr>
        <b/>
        <sz val="16"/>
        <rFont val="Calibri"/>
        <family val="2"/>
        <charset val="163"/>
      </rPr>
      <t>)</t>
    </r>
  </si>
  <si>
    <t>Trần thị Lài</t>
  </si>
  <si>
    <t>phụ cấp công việc T04/2021</t>
  </si>
  <si>
    <t>phụ cấp xăng T04/2021</t>
  </si>
  <si>
    <t>phụ cấp PUD T04/2021 theo bảng kê</t>
  </si>
  <si>
    <t>phụ cấp OTLD T04/2021 theo bảng kê</t>
  </si>
  <si>
    <t>phụ cấp Isuzu T04/2021 theo bảng kê</t>
  </si>
  <si>
    <t>TONG CONG T04/21</t>
  </si>
  <si>
    <t>077 100 059 2749</t>
  </si>
  <si>
    <t>VIETCOMBANK QUANG TRI</t>
  </si>
  <si>
    <t>phu cap le 30/04 &amp; 01/05</t>
  </si>
  <si>
    <t>Apr</t>
  </si>
  <si>
    <t>Lương căn bản tháng 04/2021</t>
  </si>
  <si>
    <t>tam ung 2tr ngay 19/03/2021</t>
  </si>
  <si>
    <t>phụ cấp Express team năm 2020</t>
  </si>
  <si>
    <t>phụ cấp LGX Q04/2020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</si>
</sst>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0.0%"/>
    <numFmt numFmtId="166" formatCode="_-* #,##0_-;\-* #,##0_-;_-* &quot;-&quot;??_-;_-@_-"/>
    <numFmt numFmtId="167" formatCode="[$-409]d\-mmm\-yy;@"/>
    <numFmt numFmtId="168" formatCode="_(* #,##0_);_(* \(#,##0\);_(* &quot;-&quot;??_);_(@_)"/>
    <numFmt numFmtId="169" formatCode="_(* #,##0.0_);_(* \(#,##0.0\);_(* &quot;-&quot;_);_(@_)"/>
    <numFmt numFmtId="170" formatCode="0_);\(0\)"/>
    <numFmt numFmtId="171" formatCode="&quot;Ngay&quot;\ [$-101042A]d\ mmmm\ yyyy;@"/>
    <numFmt numFmtId="172" formatCode="&quot;Ngay&quot;\ [$-101042A]d\ mmmm\ yyyy"/>
    <numFmt numFmtId="173" formatCode="_(* #,##0.00_);_(* \(#,##0.00\);_(* &quot;-&quot;_);_(@_)"/>
  </numFmts>
  <fonts count="126">
    <font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  <scheme val="minor"/>
    </font>
    <font>
      <sz val="11"/>
      <color indexed="8"/>
      <name val="新細明體"/>
      <family val="1"/>
      <charset val="136"/>
    </font>
    <font>
      <sz val="12"/>
      <name val="VNI-Times"/>
    </font>
    <font>
      <sz val="10"/>
      <name val="VNI-Times"/>
    </font>
    <font>
      <sz val="10"/>
      <name val="Arial"/>
      <family val="2"/>
    </font>
    <font>
      <sz val="12"/>
      <name val="新細明體"/>
      <charset val="136"/>
    </font>
    <font>
      <b/>
      <sz val="16"/>
      <color indexed="10"/>
      <name val="Calibri"/>
      <family val="2"/>
      <charset val="163"/>
    </font>
    <font>
      <b/>
      <sz val="16"/>
      <name val="Calibri"/>
      <family val="2"/>
      <charset val="163"/>
    </font>
    <font>
      <b/>
      <sz val="9"/>
      <name val="Calibri"/>
      <family val="2"/>
      <charset val="163"/>
    </font>
    <font>
      <sz val="10"/>
      <color indexed="8"/>
      <name val="Arial"/>
      <family val="2"/>
    </font>
    <font>
      <sz val="9"/>
      <name val="Calibri"/>
      <family val="2"/>
      <charset val="163"/>
    </font>
    <font>
      <sz val="10"/>
      <name val="Calibri"/>
      <family val="2"/>
      <charset val="163"/>
    </font>
    <font>
      <b/>
      <sz val="10"/>
      <name val="Calibri"/>
      <family val="2"/>
      <charset val="163"/>
    </font>
    <font>
      <b/>
      <sz val="10"/>
      <color indexed="10"/>
      <name val="Calibri"/>
      <family val="2"/>
      <charset val="163"/>
    </font>
    <font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Times New Roman"/>
      <family val="2"/>
    </font>
    <font>
      <sz val="11"/>
      <color theme="1"/>
      <name val="Times New Roman"/>
      <family val="2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charset val="163"/>
      <scheme val="minor"/>
    </font>
    <font>
      <sz val="10"/>
      <name val="Calibri"/>
      <family val="2"/>
      <charset val="163"/>
      <scheme val="minor"/>
    </font>
    <font>
      <b/>
      <sz val="9"/>
      <color rgb="FFFF0000"/>
      <name val="Calibri"/>
      <family val="2"/>
      <charset val="163"/>
      <scheme val="minor"/>
    </font>
    <font>
      <b/>
      <sz val="9"/>
      <name val="Calibri"/>
      <family val="2"/>
      <charset val="163"/>
      <scheme val="minor"/>
    </font>
    <font>
      <b/>
      <sz val="10"/>
      <name val="Calibri"/>
      <family val="2"/>
      <charset val="163"/>
      <scheme val="minor"/>
    </font>
    <font>
      <b/>
      <sz val="10"/>
      <color rgb="FF002060"/>
      <name val="Calibri"/>
      <family val="2"/>
      <charset val="163"/>
      <scheme val="minor"/>
    </font>
    <font>
      <b/>
      <sz val="10"/>
      <color rgb="FFFF0000"/>
      <name val="Calibri"/>
      <family val="2"/>
      <charset val="163"/>
      <scheme val="minor"/>
    </font>
    <font>
      <b/>
      <sz val="8"/>
      <name val="Calibri"/>
      <family val="2"/>
      <charset val="163"/>
      <scheme val="minor"/>
    </font>
    <font>
      <sz val="8"/>
      <name val="Calibri"/>
      <family val="2"/>
      <charset val="163"/>
      <scheme val="minor"/>
    </font>
    <font>
      <sz val="10"/>
      <color rgb="FF002060"/>
      <name val="Calibri"/>
      <family val="2"/>
      <charset val="163"/>
      <scheme val="minor"/>
    </font>
    <font>
      <sz val="10"/>
      <color rgb="FFFF0000"/>
      <name val="Calibri"/>
      <family val="2"/>
      <charset val="163"/>
      <scheme val="minor"/>
    </font>
    <font>
      <b/>
      <sz val="9"/>
      <color rgb="FF002060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11"/>
      <color indexed="8"/>
      <name val="Calibri"/>
      <family val="2"/>
      <charset val="163"/>
      <scheme val="minor"/>
    </font>
    <font>
      <b/>
      <sz val="11"/>
      <color indexed="8"/>
      <name val="Calibri"/>
      <family val="2"/>
      <charset val="163"/>
      <scheme val="minor"/>
    </font>
    <font>
      <sz val="11"/>
      <name val="Calibri"/>
      <family val="2"/>
      <charset val="163"/>
      <scheme val="minor"/>
    </font>
    <font>
      <sz val="12"/>
      <name val="Calibri"/>
      <family val="2"/>
      <charset val="163"/>
      <scheme val="minor"/>
    </font>
    <font>
      <sz val="8"/>
      <color theme="1"/>
      <name val="Calibri"/>
      <family val="2"/>
      <charset val="163"/>
      <scheme val="minor"/>
    </font>
    <font>
      <b/>
      <sz val="12"/>
      <name val="Calibri"/>
      <family val="2"/>
      <charset val="163"/>
      <scheme val="minor"/>
    </font>
    <font>
      <sz val="9"/>
      <color theme="1"/>
      <name val="Calibri"/>
      <family val="2"/>
      <charset val="163"/>
      <scheme val="minor"/>
    </font>
    <font>
      <b/>
      <sz val="11"/>
      <name val="Calibri"/>
      <family val="2"/>
      <charset val="163"/>
      <scheme val="minor"/>
    </font>
    <font>
      <b/>
      <sz val="19"/>
      <name val="Calibri"/>
      <family val="2"/>
      <charset val="163"/>
      <scheme val="minor"/>
    </font>
    <font>
      <b/>
      <sz val="9"/>
      <color indexed="8"/>
      <name val="Calibri"/>
      <family val="2"/>
      <charset val="163"/>
      <scheme val="minor"/>
    </font>
    <font>
      <i/>
      <sz val="9"/>
      <color indexed="8"/>
      <name val="Calibri"/>
      <family val="2"/>
      <charset val="163"/>
      <scheme val="minor"/>
    </font>
    <font>
      <b/>
      <sz val="10"/>
      <color theme="3" tint="-0.249977111117893"/>
      <name val="Calibri"/>
      <family val="2"/>
      <charset val="163"/>
      <scheme val="minor"/>
    </font>
    <font>
      <i/>
      <sz val="10"/>
      <color theme="1"/>
      <name val="Calibri"/>
      <family val="2"/>
      <charset val="163"/>
      <scheme val="minor"/>
    </font>
    <font>
      <i/>
      <sz val="10"/>
      <color rgb="FFFF0000"/>
      <name val="Calibri"/>
      <family val="2"/>
      <charset val="163"/>
      <scheme val="minor"/>
    </font>
    <font>
      <b/>
      <sz val="16"/>
      <color rgb="FFFF0000"/>
      <name val="Calibri"/>
      <family val="2"/>
      <charset val="163"/>
    </font>
    <font>
      <sz val="10"/>
      <color theme="1"/>
      <name val="Calibri"/>
      <family val="2"/>
      <charset val="163"/>
      <scheme val="minor"/>
    </font>
    <font>
      <i/>
      <sz val="10"/>
      <color theme="3" tint="-0.249977111117893"/>
      <name val="Calibri"/>
      <family val="2"/>
      <charset val="163"/>
      <scheme val="minor"/>
    </font>
    <font>
      <sz val="9"/>
      <color rgb="FFFF0000"/>
      <name val="Calibri"/>
      <family val="2"/>
      <charset val="163"/>
      <scheme val="minor"/>
    </font>
    <font>
      <b/>
      <sz val="11"/>
      <color rgb="FFFF0000"/>
      <name val="Calibri"/>
      <family val="2"/>
      <charset val="163"/>
      <scheme val="minor"/>
    </font>
    <font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name val="Calibri"/>
      <family val="2"/>
    </font>
    <font>
      <b/>
      <sz val="16"/>
      <color rgb="FFFF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3"/>
      <name val="Calibri"/>
      <family val="2"/>
      <scheme val="minor"/>
    </font>
    <font>
      <b/>
      <i/>
      <sz val="9"/>
      <color theme="3"/>
      <name val="Calibri"/>
      <family val="2"/>
      <scheme val="minor"/>
    </font>
    <font>
      <b/>
      <sz val="10"/>
      <color theme="3"/>
      <name val="Calibri"/>
      <family val="2"/>
      <charset val="163"/>
      <scheme val="minor"/>
    </font>
    <font>
      <sz val="10"/>
      <name val="Calibri"/>
      <family val="2"/>
      <charset val="163"/>
      <scheme val="minor"/>
    </font>
    <font>
      <sz val="9"/>
      <name val="Calibri"/>
      <family val="2"/>
      <charset val="163"/>
      <scheme val="minor"/>
    </font>
    <font>
      <b/>
      <sz val="10"/>
      <name val="Calibri"/>
      <family val="2"/>
      <charset val="163"/>
      <scheme val="minor"/>
    </font>
    <font>
      <sz val="10"/>
      <name val="Calibri"/>
      <family val="2"/>
      <scheme val="minor"/>
    </font>
    <font>
      <b/>
      <sz val="9"/>
      <name val="Calibri"/>
      <family val="2"/>
      <charset val="163"/>
      <scheme val="minor"/>
    </font>
    <font>
      <sz val="10"/>
      <color rgb="FFFF0000"/>
      <name val="Calibri"/>
      <family val="2"/>
      <charset val="163"/>
      <scheme val="minor"/>
    </font>
    <font>
      <sz val="9"/>
      <name val="Calibri"/>
      <family val="2"/>
      <scheme val="minor"/>
    </font>
    <font>
      <b/>
      <sz val="10"/>
      <color rgb="FFFF0000"/>
      <name val="Calibri"/>
      <family val="2"/>
      <charset val="163"/>
      <scheme val="minor"/>
    </font>
    <font>
      <b/>
      <sz val="9"/>
      <name val="Calibri"/>
      <family val="2"/>
      <charset val="163"/>
    </font>
    <font>
      <b/>
      <sz val="8"/>
      <name val="Calibri"/>
      <family val="2"/>
      <charset val="163"/>
      <scheme val="minor"/>
    </font>
    <font>
      <sz val="8"/>
      <name val="Calibri"/>
      <family val="2"/>
      <scheme val="minor"/>
    </font>
    <font>
      <b/>
      <sz val="8"/>
      <color rgb="FFFF0000"/>
      <name val="Calibri"/>
      <family val="2"/>
      <charset val="163"/>
      <scheme val="minor"/>
    </font>
    <font>
      <b/>
      <i/>
      <sz val="8"/>
      <color theme="3"/>
      <name val="Calibri"/>
      <family val="2"/>
      <charset val="163"/>
      <scheme val="minor"/>
    </font>
    <font>
      <b/>
      <i/>
      <sz val="8"/>
      <color rgb="FFFF0000"/>
      <name val="Calibri"/>
      <family val="2"/>
      <charset val="163"/>
      <scheme val="minor"/>
    </font>
    <font>
      <sz val="8"/>
      <name val="Calibri"/>
      <family val="2"/>
      <charset val="163"/>
      <scheme val="minor"/>
    </font>
    <font>
      <i/>
      <sz val="10"/>
      <color theme="3"/>
      <name val="Calibri"/>
      <family val="2"/>
      <charset val="163"/>
      <scheme val="minor"/>
    </font>
    <font>
      <sz val="10"/>
      <color indexed="10"/>
      <name val="Calibri"/>
      <family val="2"/>
      <charset val="163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1"/>
      <charset val="136"/>
      <scheme val="minor"/>
    </font>
    <font>
      <b/>
      <sz val="11"/>
      <name val="Calibri"/>
      <family val="2"/>
      <charset val="163"/>
    </font>
    <font>
      <b/>
      <sz val="11"/>
      <color indexed="10"/>
      <name val="Calibri"/>
      <family val="2"/>
      <charset val="163"/>
    </font>
    <font>
      <b/>
      <sz val="10"/>
      <color theme="1" tint="0.249977111117893"/>
      <name val="Calibri"/>
      <family val="2"/>
      <charset val="163"/>
      <scheme val="minor"/>
    </font>
    <font>
      <sz val="7"/>
      <color theme="1"/>
      <name val="Calibri"/>
      <family val="1"/>
      <charset val="136"/>
      <scheme val="minor"/>
    </font>
    <font>
      <b/>
      <sz val="7"/>
      <color theme="1"/>
      <name val="Calibri"/>
      <family val="1"/>
      <charset val="136"/>
      <scheme val="minor"/>
    </font>
    <font>
      <b/>
      <i/>
      <sz val="7"/>
      <color rgb="FFFF0000"/>
      <name val="Calibri"/>
      <family val="1"/>
      <charset val="136"/>
      <scheme val="minor"/>
    </font>
    <font>
      <b/>
      <i/>
      <sz val="7"/>
      <color theme="1"/>
      <name val="Calibri"/>
      <family val="1"/>
      <charset val="136"/>
      <scheme val="minor"/>
    </font>
    <font>
      <b/>
      <sz val="9"/>
      <color theme="1"/>
      <name val="Calibri"/>
      <family val="1"/>
      <charset val="136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1"/>
      <charset val="136"/>
      <scheme val="minor"/>
    </font>
    <font>
      <i/>
      <sz val="9.5"/>
      <name val="Calibri"/>
      <family val="2"/>
      <scheme val="minor"/>
    </font>
    <font>
      <sz val="10"/>
      <color theme="1"/>
      <name val="Calibri"/>
      <family val="1"/>
      <charset val="136"/>
      <scheme val="minor"/>
    </font>
    <font>
      <b/>
      <sz val="10"/>
      <name val="Calibri"/>
      <family val="1"/>
      <charset val="136"/>
      <scheme val="minor"/>
    </font>
    <font>
      <b/>
      <sz val="10"/>
      <name val="Calibri"/>
      <family val="2"/>
      <scheme val="minor"/>
    </font>
    <font>
      <sz val="9"/>
      <color theme="1"/>
      <name val="Calibri"/>
      <family val="1"/>
      <charset val="136"/>
      <scheme val="minor"/>
    </font>
    <font>
      <sz val="7"/>
      <color theme="1"/>
      <name val="Calibri"/>
      <family val="2"/>
      <scheme val="minor"/>
    </font>
    <font>
      <sz val="8"/>
      <color theme="1"/>
      <name val="Calibri"/>
      <family val="1"/>
      <charset val="136"/>
      <scheme val="minor"/>
    </font>
    <font>
      <sz val="8.5"/>
      <name val="Calibri"/>
      <family val="2"/>
      <charset val="163"/>
      <scheme val="minor"/>
    </font>
    <font>
      <b/>
      <sz val="10"/>
      <color theme="3" tint="-0.249977111117893"/>
      <name val="Calibri"/>
      <family val="2"/>
      <scheme val="minor"/>
    </font>
    <font>
      <i/>
      <sz val="9.5"/>
      <color theme="3" tint="-0.249977111117893"/>
      <name val="Calibri"/>
      <family val="2"/>
      <charset val="163"/>
      <scheme val="minor"/>
    </font>
    <font>
      <sz val="9.5"/>
      <color theme="3" tint="-0.249977111117893"/>
      <name val="Calibri"/>
      <family val="2"/>
      <charset val="163"/>
      <scheme val="minor"/>
    </font>
    <font>
      <b/>
      <sz val="8"/>
      <color rgb="FFFF0000"/>
      <name val="Calibri"/>
      <family val="2"/>
      <scheme val="minor"/>
    </font>
    <font>
      <b/>
      <sz val="10"/>
      <color theme="1"/>
      <name val="Calibri"/>
      <family val="2"/>
      <charset val="163"/>
      <scheme val="minor"/>
    </font>
    <font>
      <b/>
      <sz val="8"/>
      <color theme="3"/>
      <name val="Calibri"/>
      <family val="2"/>
      <charset val="163"/>
      <scheme val="minor"/>
    </font>
    <font>
      <b/>
      <sz val="8"/>
      <color theme="3"/>
      <name val="Calibri"/>
      <family val="2"/>
      <scheme val="minor"/>
    </font>
    <font>
      <b/>
      <i/>
      <sz val="8"/>
      <color theme="3"/>
      <name val="Calibri"/>
      <family val="2"/>
      <scheme val="minor"/>
    </font>
    <font>
      <b/>
      <sz val="8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79998168889431442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theme="2" tint="-0.749961851863155"/>
      </top>
      <bottom style="thin">
        <color theme="2" tint="-0.74996185186315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02">
    <xf numFmtId="0" fontId="0" fillId="0" borderId="0"/>
    <xf numFmtId="0" fontId="16" fillId="3" borderId="0" applyNumberFormat="0" applyBorder="0" applyAlignment="0" applyProtection="0"/>
    <xf numFmtId="0" fontId="16" fillId="4" borderId="0" applyNumberFormat="0" applyBorder="0" applyAlignment="0" applyProtection="0"/>
    <xf numFmtId="0" fontId="16" fillId="5" borderId="0" applyNumberFormat="0" applyBorder="0" applyAlignment="0" applyProtection="0"/>
    <xf numFmtId="0" fontId="16" fillId="6" borderId="0" applyNumberFormat="0" applyBorder="0" applyAlignment="0" applyProtection="0"/>
    <xf numFmtId="0" fontId="16" fillId="7" borderId="0" applyNumberFormat="0" applyBorder="0" applyAlignment="0" applyProtection="0"/>
    <xf numFmtId="0" fontId="16" fillId="8" borderId="0" applyNumberFormat="0" applyBorder="0" applyAlignment="0" applyProtection="0"/>
    <xf numFmtId="0" fontId="16" fillId="9" borderId="0" applyNumberFormat="0" applyBorder="0" applyAlignment="0" applyProtection="0"/>
    <xf numFmtId="0" fontId="16" fillId="10" borderId="0" applyNumberFormat="0" applyBorder="0" applyAlignment="0" applyProtection="0"/>
    <xf numFmtId="0" fontId="16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6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8" fillId="27" borderId="0" applyNumberFormat="0" applyBorder="0" applyAlignment="0" applyProtection="0"/>
    <xf numFmtId="0" fontId="19" fillId="28" borderId="21" applyNumberFormat="0" applyAlignment="0" applyProtection="0"/>
    <xf numFmtId="0" fontId="20" fillId="29" borderId="22" applyNumberFormat="0" applyAlignment="0" applyProtection="0"/>
    <xf numFmtId="43" fontId="2" fillId="0" borderId="0" applyFont="0" applyFill="0" applyBorder="0" applyAlignment="0" applyProtection="0"/>
    <xf numFmtId="43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5" fillId="0" borderId="0" applyFont="0" applyFill="0" applyBorder="0" applyAlignment="0" applyProtection="0"/>
    <xf numFmtId="164" fontId="16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2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16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30" borderId="0" applyNumberFormat="0" applyBorder="0" applyAlignment="0" applyProtection="0"/>
    <xf numFmtId="0" fontId="25" fillId="0" borderId="23" applyNumberFormat="0" applyFill="0" applyAlignment="0" applyProtection="0"/>
    <xf numFmtId="0" fontId="26" fillId="0" borderId="24" applyNumberFormat="0" applyFill="0" applyAlignment="0" applyProtection="0"/>
    <xf numFmtId="0" fontId="27" fillId="0" borderId="25" applyNumberFormat="0" applyFill="0" applyAlignment="0" applyProtection="0"/>
    <xf numFmtId="0" fontId="27" fillId="0" borderId="0" applyNumberFormat="0" applyFill="0" applyBorder="0" applyAlignment="0" applyProtection="0"/>
    <xf numFmtId="0" fontId="28" fillId="31" borderId="21" applyNumberFormat="0" applyAlignment="0" applyProtection="0"/>
    <xf numFmtId="0" fontId="29" fillId="0" borderId="26" applyNumberFormat="0" applyFill="0" applyAlignment="0" applyProtection="0"/>
    <xf numFmtId="0" fontId="30" fillId="32" borderId="0" applyNumberFormat="0" applyBorder="0" applyAlignment="0" applyProtection="0"/>
    <xf numFmtId="0" fontId="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5" fillId="0" borderId="0"/>
    <xf numFmtId="0" fontId="10" fillId="0" borderId="0">
      <alignment vertical="top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4" fillId="0" borderId="0">
      <alignment vertical="top"/>
    </xf>
    <xf numFmtId="0" fontId="5" fillId="0" borderId="0"/>
    <xf numFmtId="0" fontId="10" fillId="0" borderId="0">
      <alignment vertical="top"/>
    </xf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1" fillId="0" borderId="0"/>
    <xf numFmtId="0" fontId="16" fillId="0" borderId="0"/>
    <xf numFmtId="0" fontId="16" fillId="0" borderId="0"/>
    <xf numFmtId="0" fontId="21" fillId="0" borderId="0"/>
    <xf numFmtId="0" fontId="16" fillId="0" borderId="0"/>
    <xf numFmtId="0" fontId="22" fillId="0" borderId="0"/>
    <xf numFmtId="0" fontId="15" fillId="0" borderId="0"/>
    <xf numFmtId="0" fontId="15" fillId="0" borderId="0"/>
    <xf numFmtId="0" fontId="15" fillId="0" borderId="0"/>
    <xf numFmtId="0" fontId="4" fillId="0" borderId="0"/>
    <xf numFmtId="0" fontId="3" fillId="0" borderId="0"/>
    <xf numFmtId="0" fontId="16" fillId="33" borderId="27" applyNumberFormat="0" applyFont="0" applyAlignment="0" applyProtection="0"/>
    <xf numFmtId="0" fontId="31" fillId="28" borderId="28" applyNumberFormat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33" fillId="0" borderId="29" applyNumberFormat="0" applyFill="0" applyAlignment="0" applyProtection="0"/>
    <xf numFmtId="0" fontId="34" fillId="0" borderId="0" applyNumberFormat="0" applyFill="0" applyBorder="0" applyAlignment="0" applyProtection="0"/>
    <xf numFmtId="0" fontId="6" fillId="0" borderId="0"/>
    <xf numFmtId="0" fontId="96" fillId="0" borderId="0" applyNumberFormat="0" applyFill="0" applyBorder="0" applyAlignment="0" applyProtection="0"/>
  </cellStyleXfs>
  <cellXfs count="383">
    <xf numFmtId="0" fontId="0" fillId="0" borderId="0" xfId="0"/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7" fillId="0" borderId="0" xfId="0" applyFont="1" applyBorder="1" applyAlignment="1">
      <alignment vertical="center"/>
    </xf>
    <xf numFmtId="0" fontId="35" fillId="0" borderId="1" xfId="0" applyFont="1" applyBorder="1" applyAlignment="1">
      <alignment vertical="center"/>
    </xf>
    <xf numFmtId="0" fontId="35" fillId="0" borderId="0" xfId="0" applyFont="1" applyBorder="1" applyAlignment="1">
      <alignment vertical="center"/>
    </xf>
    <xf numFmtId="0" fontId="35" fillId="0" borderId="0" xfId="0" applyFont="1"/>
    <xf numFmtId="0" fontId="35" fillId="0" borderId="0" xfId="0" applyFont="1" applyBorder="1"/>
    <xf numFmtId="167" fontId="35" fillId="0" borderId="2" xfId="0" applyNumberFormat="1" applyFont="1" applyBorder="1"/>
    <xf numFmtId="14" fontId="35" fillId="0" borderId="3" xfId="0" applyNumberFormat="1" applyFont="1" applyBorder="1"/>
    <xf numFmtId="0" fontId="38" fillId="0" borderId="4" xfId="0" applyFont="1" applyBorder="1" applyAlignment="1">
      <alignment horizontal="center"/>
    </xf>
    <xf numFmtId="0" fontId="35" fillId="0" borderId="0" xfId="0" applyFont="1" applyAlignment="1">
      <alignment horizontal="left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0" fontId="41" fillId="0" borderId="0" xfId="0" applyFont="1" applyBorder="1" applyAlignment="1">
      <alignment vertical="center"/>
    </xf>
    <xf numFmtId="0" fontId="41" fillId="0" borderId="1" xfId="0" applyFont="1" applyBorder="1" applyAlignment="1">
      <alignment vertical="center"/>
    </xf>
    <xf numFmtId="0" fontId="36" fillId="0" borderId="1" xfId="0" applyFont="1" applyBorder="1" applyAlignment="1">
      <alignment vertical="center"/>
    </xf>
    <xf numFmtId="0" fontId="36" fillId="0" borderId="0" xfId="0" applyFont="1" applyBorder="1" applyAlignment="1">
      <alignment vertical="center"/>
    </xf>
    <xf numFmtId="0" fontId="36" fillId="0" borderId="0" xfId="0" applyFont="1"/>
    <xf numFmtId="0" fontId="41" fillId="0" borderId="0" xfId="0" applyFont="1" applyAlignment="1"/>
    <xf numFmtId="41" fontId="41" fillId="0" borderId="0" xfId="0" applyNumberFormat="1" applyFont="1" applyAlignment="1"/>
    <xf numFmtId="0" fontId="36" fillId="0" borderId="0" xfId="0" applyFont="1" applyAlignment="1">
      <alignment horizontal="center"/>
    </xf>
    <xf numFmtId="0" fontId="39" fillId="0" borderId="0" xfId="0" applyFont="1"/>
    <xf numFmtId="0" fontId="36" fillId="0" borderId="0" xfId="0" applyFont="1" applyBorder="1"/>
    <xf numFmtId="167" fontId="36" fillId="0" borderId="2" xfId="0" applyNumberFormat="1" applyFont="1" applyBorder="1"/>
    <xf numFmtId="0" fontId="36" fillId="0" borderId="5" xfId="0" applyFont="1" applyBorder="1"/>
    <xf numFmtId="0" fontId="36" fillId="0" borderId="3" xfId="0" applyFont="1" applyBorder="1"/>
    <xf numFmtId="14" fontId="36" fillId="0" borderId="3" xfId="0" applyNumberFormat="1" applyFont="1" applyBorder="1"/>
    <xf numFmtId="0" fontId="39" fillId="0" borderId="6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6" fillId="0" borderId="0" xfId="0" applyFont="1" applyBorder="1" applyAlignment="1">
      <alignment horizontal="center"/>
    </xf>
    <xf numFmtId="0" fontId="36" fillId="0" borderId="0" xfId="0" applyFont="1" applyAlignment="1">
      <alignment horizontal="left"/>
    </xf>
    <xf numFmtId="0" fontId="36" fillId="0" borderId="0" xfId="0" applyFont="1" applyBorder="1" applyAlignment="1">
      <alignment horizontal="left"/>
    </xf>
    <xf numFmtId="166" fontId="36" fillId="0" borderId="0" xfId="28" applyNumberFormat="1" applyFont="1" applyBorder="1" applyAlignment="1">
      <alignment horizontal="left"/>
    </xf>
    <xf numFmtId="43" fontId="35" fillId="0" borderId="2" xfId="28" applyFont="1" applyBorder="1"/>
    <xf numFmtId="43" fontId="36" fillId="0" borderId="2" xfId="28" applyFont="1" applyBorder="1"/>
    <xf numFmtId="0" fontId="36" fillId="0" borderId="7" xfId="0" applyFont="1" applyBorder="1" applyAlignment="1">
      <alignment horizontal="center"/>
    </xf>
    <xf numFmtId="0" fontId="36" fillId="0" borderId="8" xfId="0" applyFont="1" applyBorder="1" applyAlignment="1">
      <alignment horizontal="center"/>
    </xf>
    <xf numFmtId="0" fontId="43" fillId="0" borderId="0" xfId="0" applyFont="1" applyAlignment="1">
      <alignment horizontal="center"/>
    </xf>
    <xf numFmtId="0" fontId="38" fillId="0" borderId="0" xfId="0" applyFont="1" applyBorder="1" applyAlignment="1">
      <alignment vertical="center"/>
    </xf>
    <xf numFmtId="0" fontId="44" fillId="0" borderId="0" xfId="0" applyFont="1" applyAlignment="1">
      <alignment vertical="center"/>
    </xf>
    <xf numFmtId="0" fontId="45" fillId="0" borderId="1" xfId="0" applyFont="1" applyBorder="1" applyAlignment="1">
      <alignment vertical="center"/>
    </xf>
    <xf numFmtId="0" fontId="45" fillId="0" borderId="0" xfId="0" applyFont="1" applyBorder="1" applyAlignment="1">
      <alignment vertical="center"/>
    </xf>
    <xf numFmtId="0" fontId="45" fillId="0" borderId="0" xfId="0" applyFont="1" applyAlignment="1"/>
    <xf numFmtId="0" fontId="46" fillId="0" borderId="0" xfId="0" applyFont="1" applyAlignment="1">
      <alignment vertical="center"/>
    </xf>
    <xf numFmtId="0" fontId="37" fillId="0" borderId="1" xfId="0" applyFont="1" applyBorder="1" applyAlignment="1">
      <alignment vertical="center"/>
    </xf>
    <xf numFmtId="0" fontId="37" fillId="0" borderId="0" xfId="0" applyFont="1" applyAlignment="1"/>
    <xf numFmtId="167" fontId="43" fillId="0" borderId="9" xfId="0" applyNumberFormat="1" applyFont="1" applyBorder="1"/>
    <xf numFmtId="167" fontId="35" fillId="0" borderId="9" xfId="0" applyNumberFormat="1" applyFont="1" applyBorder="1"/>
    <xf numFmtId="0" fontId="45" fillId="0" borderId="0" xfId="0" applyFont="1" applyAlignment="1">
      <alignment vertical="center"/>
    </xf>
    <xf numFmtId="41" fontId="36" fillId="0" borderId="30" xfId="34" applyNumberFormat="1" applyFont="1" applyBorder="1"/>
    <xf numFmtId="41" fontId="45" fillId="0" borderId="30" xfId="34" applyNumberFormat="1" applyFont="1" applyBorder="1"/>
    <xf numFmtId="41" fontId="35" fillId="0" borderId="9" xfId="34" applyNumberFormat="1" applyFont="1" applyBorder="1"/>
    <xf numFmtId="0" fontId="41" fillId="0" borderId="1" xfId="0" applyFont="1" applyBorder="1" applyAlignment="1">
      <alignment horizontal="left" vertical="center"/>
    </xf>
    <xf numFmtId="0" fontId="41" fillId="0" borderId="0" xfId="0" applyFont="1" applyBorder="1" applyAlignment="1">
      <alignment horizontal="left" vertical="center"/>
    </xf>
    <xf numFmtId="0" fontId="35" fillId="0" borderId="0" xfId="0" applyFont="1" applyAlignment="1">
      <alignment horizontal="left" vertical="center"/>
    </xf>
    <xf numFmtId="0" fontId="35" fillId="0" borderId="1" xfId="0" applyFont="1" applyBorder="1" applyAlignment="1">
      <alignment horizontal="left" vertical="center"/>
    </xf>
    <xf numFmtId="0" fontId="35" fillId="0" borderId="0" xfId="0" applyFont="1" applyBorder="1" applyAlignment="1">
      <alignment horizontal="left" vertical="center"/>
    </xf>
    <xf numFmtId="0" fontId="37" fillId="0" borderId="0" xfId="0" applyFont="1" applyAlignment="1">
      <alignment horizontal="left"/>
    </xf>
    <xf numFmtId="0" fontId="47" fillId="0" borderId="0" xfId="0" applyFont="1"/>
    <xf numFmtId="0" fontId="48" fillId="0" borderId="0" xfId="92" applyFont="1" applyBorder="1" applyAlignment="1">
      <alignment horizontal="left" vertical="center"/>
    </xf>
    <xf numFmtId="0" fontId="49" fillId="0" borderId="0" xfId="92" applyFont="1" applyBorder="1" applyAlignment="1">
      <alignment vertical="center"/>
    </xf>
    <xf numFmtId="0" fontId="50" fillId="0" borderId="0" xfId="91" quotePrefix="1" applyFont="1" applyFill="1" applyBorder="1"/>
    <xf numFmtId="0" fontId="38" fillId="0" borderId="0" xfId="91" quotePrefix="1" applyFont="1" applyFill="1" applyBorder="1" applyAlignment="1">
      <alignment horizontal="right"/>
    </xf>
    <xf numFmtId="0" fontId="51" fillId="0" borderId="0" xfId="91" quotePrefix="1" applyFont="1" applyFill="1" applyBorder="1"/>
    <xf numFmtId="3" fontId="43" fillId="0" borderId="0" xfId="91" applyNumberFormat="1" applyFont="1" applyFill="1" applyBorder="1" applyAlignment="1">
      <alignment wrapText="1"/>
    </xf>
    <xf numFmtId="0" fontId="52" fillId="0" borderId="0" xfId="0" applyFont="1"/>
    <xf numFmtId="167" fontId="53" fillId="0" borderId="0" xfId="91" applyNumberFormat="1" applyFont="1" applyFill="1" applyBorder="1" applyAlignment="1">
      <alignment horizontal="left"/>
    </xf>
    <xf numFmtId="0" fontId="50" fillId="0" borderId="0" xfId="91" quotePrefix="1" applyFont="1" applyFill="1" applyBorder="1" applyAlignment="1">
      <alignment horizontal="left"/>
    </xf>
    <xf numFmtId="0" fontId="50" fillId="0" borderId="0" xfId="0" applyFont="1" applyFill="1"/>
    <xf numFmtId="0" fontId="50" fillId="35" borderId="0" xfId="91" quotePrefix="1" applyFont="1" applyFill="1" applyBorder="1" applyAlignment="1">
      <alignment horizontal="left"/>
    </xf>
    <xf numFmtId="3" fontId="50" fillId="0" borderId="0" xfId="91" applyNumberFormat="1" applyFont="1" applyFill="1" applyBorder="1" applyAlignment="1">
      <alignment vertical="top"/>
    </xf>
    <xf numFmtId="3" fontId="53" fillId="34" borderId="9" xfId="91" applyNumberFormat="1" applyFont="1" applyFill="1" applyBorder="1" applyAlignment="1">
      <alignment vertical="top"/>
    </xf>
    <xf numFmtId="168" fontId="47" fillId="0" borderId="0" xfId="0" applyNumberFormat="1" applyFont="1"/>
    <xf numFmtId="171" fontId="43" fillId="0" borderId="0" xfId="91" quotePrefix="1" applyNumberFormat="1" applyFont="1" applyFill="1" applyBorder="1" applyAlignment="1"/>
    <xf numFmtId="0" fontId="50" fillId="0" borderId="0" xfId="91" quotePrefix="1" applyFont="1" applyFill="1" applyBorder="1" applyAlignment="1">
      <alignment horizontal="center"/>
    </xf>
    <xf numFmtId="0" fontId="36" fillId="0" borderId="0" xfId="91" applyFont="1" applyFill="1" applyBorder="1" applyAlignment="1">
      <alignment horizontal="left"/>
    </xf>
    <xf numFmtId="0" fontId="36" fillId="0" borderId="0" xfId="91" applyFont="1" applyFill="1" applyBorder="1" applyAlignment="1">
      <alignment horizontal="center"/>
    </xf>
    <xf numFmtId="0" fontId="36" fillId="0" borderId="0" xfId="91" quotePrefix="1" applyFont="1" applyFill="1" applyBorder="1"/>
    <xf numFmtId="0" fontId="47" fillId="0" borderId="0" xfId="0" applyFont="1" applyBorder="1"/>
    <xf numFmtId="168" fontId="50" fillId="35" borderId="0" xfId="29" quotePrefix="1" applyNumberFormat="1" applyFont="1" applyFill="1" applyBorder="1"/>
    <xf numFmtId="0" fontId="54" fillId="0" borderId="0" xfId="0" applyFont="1"/>
    <xf numFmtId="167" fontId="54" fillId="0" borderId="0" xfId="87" applyNumberFormat="1" applyFont="1" applyFill="1"/>
    <xf numFmtId="0" fontId="54" fillId="0" borderId="0" xfId="87" applyFont="1" applyFill="1"/>
    <xf numFmtId="0" fontId="54" fillId="0" borderId="0" xfId="0" applyFont="1" applyFill="1"/>
    <xf numFmtId="0" fontId="50" fillId="0" borderId="0" xfId="0" applyFont="1" applyAlignment="1">
      <alignment horizontal="left"/>
    </xf>
    <xf numFmtId="0" fontId="39" fillId="0" borderId="0" xfId="91" quotePrefix="1" applyFont="1" applyFill="1" applyBorder="1"/>
    <xf numFmtId="0" fontId="55" fillId="0" borderId="0" xfId="91" quotePrefix="1" applyFont="1" applyFill="1" applyBorder="1" applyAlignment="1">
      <alignment horizontal="right"/>
    </xf>
    <xf numFmtId="0" fontId="56" fillId="0" borderId="0" xfId="91" quotePrefix="1" applyFont="1" applyFill="1" applyBorder="1" applyAlignment="1"/>
    <xf numFmtId="0" fontId="56" fillId="0" borderId="0" xfId="91" quotePrefix="1" applyFont="1" applyFill="1" applyBorder="1" applyAlignment="1">
      <alignment horizontal="left"/>
    </xf>
    <xf numFmtId="0" fontId="57" fillId="0" borderId="0" xfId="92" applyFont="1" applyAlignment="1">
      <alignment horizontal="right" vertical="center"/>
    </xf>
    <xf numFmtId="0" fontId="58" fillId="0" borderId="0" xfId="92" applyFont="1" applyAlignment="1">
      <alignment horizontal="right" vertical="center"/>
    </xf>
    <xf numFmtId="0" fontId="58" fillId="2" borderId="0" xfId="92" applyFont="1" applyFill="1" applyAlignment="1">
      <alignment horizontal="right" vertical="center"/>
    </xf>
    <xf numFmtId="0" fontId="45" fillId="0" borderId="0" xfId="91" quotePrefix="1" applyFont="1" applyFill="1" applyBorder="1"/>
    <xf numFmtId="0" fontId="59" fillId="0" borderId="0" xfId="91" quotePrefix="1" applyFont="1" applyFill="1" applyBorder="1"/>
    <xf numFmtId="168" fontId="50" fillId="0" borderId="0" xfId="91" quotePrefix="1" applyNumberFormat="1" applyFont="1" applyFill="1" applyBorder="1" applyAlignment="1">
      <alignment horizontal="left"/>
    </xf>
    <xf numFmtId="0" fontId="60" fillId="0" borderId="0" xfId="0" applyFont="1"/>
    <xf numFmtId="171" fontId="38" fillId="0" borderId="0" xfId="91" quotePrefix="1" applyNumberFormat="1" applyFont="1" applyFill="1" applyBorder="1" applyAlignment="1">
      <alignment horizontal="left"/>
    </xf>
    <xf numFmtId="0" fontId="45" fillId="0" borderId="0" xfId="0" applyFont="1" applyBorder="1" applyAlignment="1">
      <alignment horizontal="right"/>
    </xf>
    <xf numFmtId="0" fontId="61" fillId="0" borderId="0" xfId="91" quotePrefix="1" applyFont="1" applyFill="1" applyBorder="1"/>
    <xf numFmtId="0" fontId="62" fillId="0" borderId="0" xfId="0" applyFont="1" applyAlignment="1">
      <alignment horizontal="left"/>
    </xf>
    <xf numFmtId="168" fontId="63" fillId="0" borderId="0" xfId="0" applyNumberFormat="1" applyFont="1"/>
    <xf numFmtId="0" fontId="64" fillId="0" borderId="0" xfId="91" quotePrefix="1" applyFont="1" applyFill="1" applyBorder="1"/>
    <xf numFmtId="0" fontId="36" fillId="0" borderId="0" xfId="91" applyFont="1" applyFill="1" applyBorder="1" applyAlignment="1">
      <alignment horizontal="center"/>
    </xf>
    <xf numFmtId="0" fontId="42" fillId="0" borderId="12" xfId="0" applyFont="1" applyFill="1" applyBorder="1" applyAlignment="1">
      <alignment horizontal="center" vertical="center" wrapText="1"/>
    </xf>
    <xf numFmtId="0" fontId="38" fillId="0" borderId="12" xfId="0" applyFont="1" applyFill="1" applyBorder="1" applyAlignment="1">
      <alignment horizontal="center" vertical="center" wrapText="1"/>
    </xf>
    <xf numFmtId="0" fontId="39" fillId="0" borderId="0" xfId="92" applyFont="1" applyBorder="1" applyAlignment="1">
      <alignment horizontal="left" vertical="center"/>
    </xf>
    <xf numFmtId="0" fontId="35" fillId="0" borderId="0" xfId="91" quotePrefix="1" applyFont="1" applyFill="1" applyBorder="1"/>
    <xf numFmtId="0" fontId="35" fillId="0" borderId="0" xfId="92" applyFont="1" applyBorder="1" applyAlignment="1">
      <alignment horizontal="left" vertical="center"/>
    </xf>
    <xf numFmtId="0" fontId="54" fillId="0" borderId="9" xfId="87" applyFont="1" applyFill="1" applyBorder="1"/>
    <xf numFmtId="0" fontId="54" fillId="0" borderId="9" xfId="87" applyNumberFormat="1" applyFont="1" applyFill="1" applyBorder="1"/>
    <xf numFmtId="0" fontId="37" fillId="0" borderId="13" xfId="0" applyFont="1" applyFill="1" applyBorder="1" applyAlignment="1">
      <alignment horizontal="center" vertical="center" wrapText="1"/>
    </xf>
    <xf numFmtId="0" fontId="37" fillId="0" borderId="14" xfId="0" applyFont="1" applyFill="1" applyBorder="1" applyAlignment="1">
      <alignment horizontal="center" vertical="center" wrapText="1"/>
    </xf>
    <xf numFmtId="0" fontId="37" fillId="0" borderId="2" xfId="0" applyFont="1" applyFill="1" applyBorder="1" applyAlignment="1">
      <alignment horizontal="center" vertical="center" wrapText="1"/>
    </xf>
    <xf numFmtId="167" fontId="37" fillId="0" borderId="2" xfId="0" applyNumberFormat="1" applyFont="1" applyFill="1" applyBorder="1" applyAlignment="1">
      <alignment horizontal="center" vertical="center" wrapText="1"/>
    </xf>
    <xf numFmtId="0" fontId="65" fillId="0" borderId="0" xfId="0" applyFont="1" applyAlignment="1">
      <alignment horizontal="center"/>
    </xf>
    <xf numFmtId="0" fontId="47" fillId="0" borderId="9" xfId="0" applyFont="1" applyBorder="1"/>
    <xf numFmtId="0" fontId="47" fillId="34" borderId="9" xfId="0" applyFont="1" applyFill="1" applyBorder="1"/>
    <xf numFmtId="0" fontId="55" fillId="0" borderId="0" xfId="0" applyFont="1" applyBorder="1" applyAlignment="1">
      <alignment vertical="center"/>
    </xf>
    <xf numFmtId="0" fontId="40" fillId="0" borderId="0" xfId="0" applyFont="1" applyAlignment="1">
      <alignment horizontal="center" vertical="center"/>
    </xf>
    <xf numFmtId="0" fontId="36" fillId="0" borderId="9" xfId="0" applyFont="1" applyBorder="1"/>
    <xf numFmtId="0" fontId="13" fillId="0" borderId="0" xfId="92" applyFont="1" applyBorder="1" applyAlignment="1">
      <alignment horizontal="left" vertical="center"/>
    </xf>
    <xf numFmtId="0" fontId="9" fillId="0" borderId="0" xfId="92" applyFont="1" applyBorder="1" applyAlignment="1">
      <alignment horizontal="left" vertical="center"/>
    </xf>
    <xf numFmtId="0" fontId="35" fillId="0" borderId="9" xfId="0" applyFont="1" applyBorder="1"/>
    <xf numFmtId="167" fontId="73" fillId="0" borderId="9" xfId="0" applyNumberFormat="1" applyFont="1" applyBorder="1"/>
    <xf numFmtId="0" fontId="67" fillId="0" borderId="0" xfId="0" applyFont="1" applyAlignment="1">
      <alignment vertical="center"/>
    </xf>
    <xf numFmtId="0" fontId="74" fillId="0" borderId="0" xfId="0" applyFont="1" applyAlignment="1">
      <alignment vertical="center"/>
    </xf>
    <xf numFmtId="0" fontId="74" fillId="0" borderId="1" xfId="0" applyFont="1" applyBorder="1" applyAlignment="1">
      <alignment vertical="center"/>
    </xf>
    <xf numFmtId="0" fontId="68" fillId="0" borderId="0" xfId="0" applyFont="1" applyBorder="1" applyAlignment="1">
      <alignment vertical="center"/>
    </xf>
    <xf numFmtId="0" fontId="68" fillId="0" borderId="0" xfId="0" applyFont="1" applyAlignment="1"/>
    <xf numFmtId="0" fontId="75" fillId="0" borderId="0" xfId="0" applyFont="1" applyAlignment="1">
      <alignment horizontal="center"/>
    </xf>
    <xf numFmtId="0" fontId="77" fillId="0" borderId="0" xfId="0" applyFont="1" applyBorder="1" applyAlignment="1">
      <alignment horizontal="right"/>
    </xf>
    <xf numFmtId="0" fontId="78" fillId="0" borderId="0" xfId="0" applyFont="1"/>
    <xf numFmtId="0" fontId="79" fillId="0" borderId="0" xfId="0" applyFont="1"/>
    <xf numFmtId="0" fontId="79" fillId="0" borderId="0" xfId="0" applyFont="1" applyAlignment="1">
      <alignment horizontal="left"/>
    </xf>
    <xf numFmtId="0" fontId="82" fillId="0" borderId="0" xfId="0" applyFont="1" applyAlignment="1">
      <alignment horizontal="center"/>
    </xf>
    <xf numFmtId="0" fontId="87" fillId="0" borderId="9" xfId="0" applyFont="1" applyFill="1" applyBorder="1" applyAlignment="1">
      <alignment horizontal="center" vertical="center" wrapText="1"/>
    </xf>
    <xf numFmtId="0" fontId="87" fillId="0" borderId="9" xfId="0" applyFont="1" applyFill="1" applyBorder="1" applyAlignment="1">
      <alignment horizontal="center" vertical="center"/>
    </xf>
    <xf numFmtId="169" fontId="87" fillId="0" borderId="9" xfId="34" applyNumberFormat="1" applyFont="1" applyBorder="1" applyAlignment="1">
      <alignment horizontal="center"/>
    </xf>
    <xf numFmtId="41" fontId="87" fillId="0" borderId="9" xfId="34" applyNumberFormat="1" applyFont="1" applyBorder="1" applyAlignment="1">
      <alignment horizontal="center"/>
    </xf>
    <xf numFmtId="41" fontId="88" fillId="39" borderId="9" xfId="34" applyNumberFormat="1" applyFont="1" applyFill="1" applyBorder="1" applyAlignment="1">
      <alignment horizontal="center"/>
    </xf>
    <xf numFmtId="0" fontId="89" fillId="0" borderId="9" xfId="0" applyFont="1" applyFill="1" applyBorder="1" applyAlignment="1">
      <alignment horizontal="center" vertical="center" wrapText="1"/>
    </xf>
    <xf numFmtId="165" fontId="90" fillId="34" borderId="9" xfId="0" quotePrefix="1" applyNumberFormat="1" applyFont="1" applyFill="1" applyBorder="1" applyAlignment="1">
      <alignment horizontal="center" vertical="center"/>
    </xf>
    <xf numFmtId="165" fontId="91" fillId="0" borderId="9" xfId="0" applyNumberFormat="1" applyFont="1" applyFill="1" applyBorder="1" applyAlignment="1">
      <alignment horizontal="center" vertical="center"/>
    </xf>
    <xf numFmtId="0" fontId="89" fillId="0" borderId="9" xfId="0" applyFont="1" applyFill="1" applyBorder="1" applyAlignment="1">
      <alignment horizontal="center" vertical="center"/>
    </xf>
    <xf numFmtId="3" fontId="89" fillId="0" borderId="9" xfId="0" applyNumberFormat="1" applyFont="1" applyFill="1" applyBorder="1" applyAlignment="1">
      <alignment horizontal="center" vertical="center"/>
    </xf>
    <xf numFmtId="3" fontId="87" fillId="34" borderId="9" xfId="0" quotePrefix="1" applyNumberFormat="1" applyFont="1" applyFill="1" applyBorder="1" applyAlignment="1">
      <alignment horizontal="center" vertical="center"/>
    </xf>
    <xf numFmtId="0" fontId="87" fillId="34" borderId="9" xfId="0" quotePrefix="1" applyFont="1" applyFill="1" applyBorder="1" applyAlignment="1">
      <alignment horizontal="center" vertical="center" wrapText="1"/>
    </xf>
    <xf numFmtId="0" fontId="89" fillId="34" borderId="9" xfId="0" quotePrefix="1" applyFont="1" applyFill="1" applyBorder="1" applyAlignment="1">
      <alignment horizontal="center" vertical="center" wrapText="1"/>
    </xf>
    <xf numFmtId="0" fontId="89" fillId="34" borderId="9" xfId="0" quotePrefix="1" applyFont="1" applyFill="1" applyBorder="1" applyAlignment="1">
      <alignment horizontal="left" vertical="center" wrapText="1"/>
    </xf>
    <xf numFmtId="10" fontId="89" fillId="38" borderId="9" xfId="0" applyNumberFormat="1" applyFont="1" applyFill="1" applyBorder="1" applyAlignment="1">
      <alignment horizontal="center" vertical="center" wrapText="1"/>
    </xf>
    <xf numFmtId="10" fontId="89" fillId="0" borderId="9" xfId="0" applyNumberFormat="1" applyFont="1" applyFill="1" applyBorder="1" applyAlignment="1">
      <alignment horizontal="center" vertical="center" wrapText="1"/>
    </xf>
    <xf numFmtId="167" fontId="92" fillId="0" borderId="9" xfId="0" applyNumberFormat="1" applyFont="1" applyBorder="1"/>
    <xf numFmtId="167" fontId="79" fillId="0" borderId="9" xfId="0" applyNumberFormat="1" applyFont="1" applyBorder="1"/>
    <xf numFmtId="0" fontId="87" fillId="0" borderId="0" xfId="0" applyFont="1" applyBorder="1" applyAlignment="1">
      <alignment horizontal="center"/>
    </xf>
    <xf numFmtId="0" fontId="87" fillId="0" borderId="0" xfId="0" applyFont="1" applyAlignment="1">
      <alignment horizontal="center"/>
    </xf>
    <xf numFmtId="0" fontId="79" fillId="0" borderId="9" xfId="0" applyFont="1" applyBorder="1" applyAlignment="1">
      <alignment horizontal="center"/>
    </xf>
    <xf numFmtId="0" fontId="78" fillId="0" borderId="9" xfId="0" applyFont="1" applyBorder="1"/>
    <xf numFmtId="0" fontId="79" fillId="0" borderId="9" xfId="0" applyFont="1" applyBorder="1" applyAlignment="1">
      <alignment horizontal="left"/>
    </xf>
    <xf numFmtId="41" fontId="78" fillId="0" borderId="9" xfId="34" applyNumberFormat="1" applyFont="1" applyBorder="1"/>
    <xf numFmtId="169" fontId="79" fillId="0" borderId="11" xfId="34" applyNumberFormat="1" applyFont="1" applyBorder="1" applyAlignment="1">
      <alignment horizontal="center"/>
    </xf>
    <xf numFmtId="41" fontId="78" fillId="0" borderId="11" xfId="34" applyNumberFormat="1" applyFont="1" applyBorder="1" applyAlignment="1">
      <alignment horizontal="center"/>
    </xf>
    <xf numFmtId="41" fontId="81" fillId="39" borderId="11" xfId="34" applyNumberFormat="1" applyFont="1" applyFill="1" applyBorder="1" applyAlignment="1">
      <alignment horizontal="center"/>
    </xf>
    <xf numFmtId="41" fontId="83" fillId="0" borderId="30" xfId="34" applyNumberFormat="1" applyFont="1" applyBorder="1"/>
    <xf numFmtId="41" fontId="80" fillId="0" borderId="9" xfId="34" applyNumberFormat="1" applyFont="1" applyBorder="1"/>
    <xf numFmtId="41" fontId="93" fillId="0" borderId="9" xfId="34" applyNumberFormat="1" applyFont="1" applyBorder="1"/>
    <xf numFmtId="41" fontId="94" fillId="0" borderId="9" xfId="34" applyNumberFormat="1" applyFont="1" applyBorder="1"/>
    <xf numFmtId="41" fontId="79" fillId="0" borderId="9" xfId="34" applyNumberFormat="1" applyFont="1" applyBorder="1"/>
    <xf numFmtId="0" fontId="79" fillId="0" borderId="9" xfId="0" applyFont="1" applyBorder="1"/>
    <xf numFmtId="0" fontId="78" fillId="0" borderId="0" xfId="0" applyFont="1" applyBorder="1"/>
    <xf numFmtId="41" fontId="80" fillId="39" borderId="9" xfId="34" applyNumberFormat="1" applyFont="1" applyFill="1" applyBorder="1"/>
    <xf numFmtId="170" fontId="79" fillId="0" borderId="9" xfId="34" applyNumberFormat="1" applyFont="1" applyBorder="1"/>
    <xf numFmtId="168" fontId="78" fillId="0" borderId="9" xfId="28" applyNumberFormat="1" applyFont="1" applyBorder="1" applyAlignment="1">
      <alignment horizontal="right"/>
    </xf>
    <xf numFmtId="0" fontId="81" fillId="0" borderId="9" xfId="0" applyFont="1" applyBorder="1"/>
    <xf numFmtId="41" fontId="83" fillId="0" borderId="9" xfId="34" applyNumberFormat="1" applyFont="1" applyBorder="1"/>
    <xf numFmtId="49" fontId="79" fillId="0" borderId="9" xfId="0" applyNumberFormat="1" applyFont="1" applyBorder="1" applyAlignment="1">
      <alignment horizontal="left"/>
    </xf>
    <xf numFmtId="0" fontId="78" fillId="0" borderId="0" xfId="0" applyFont="1" applyAlignment="1">
      <alignment horizontal="left"/>
    </xf>
    <xf numFmtId="0" fontId="78" fillId="0" borderId="9" xfId="0" applyFont="1" applyBorder="1" applyAlignment="1">
      <alignment horizontal="center"/>
    </xf>
    <xf numFmtId="0" fontId="78" fillId="0" borderId="9" xfId="0" applyFont="1" applyBorder="1" applyAlignment="1">
      <alignment horizontal="left"/>
    </xf>
    <xf numFmtId="166" fontId="78" fillId="0" borderId="9" xfId="28" applyNumberFormat="1" applyFont="1" applyBorder="1" applyAlignment="1">
      <alignment horizontal="left"/>
    </xf>
    <xf numFmtId="0" fontId="80" fillId="0" borderId="9" xfId="0" applyFont="1" applyBorder="1" applyAlignment="1">
      <alignment horizontal="left"/>
    </xf>
    <xf numFmtId="0" fontId="83" fillId="0" borderId="9" xfId="0" applyFont="1" applyBorder="1" applyAlignment="1">
      <alignment horizontal="left"/>
    </xf>
    <xf numFmtId="0" fontId="94" fillId="0" borderId="9" xfId="0" applyFont="1" applyBorder="1" applyAlignment="1">
      <alignment horizontal="left"/>
    </xf>
    <xf numFmtId="0" fontId="80" fillId="0" borderId="9" xfId="0" applyFont="1" applyBorder="1" applyAlignment="1">
      <alignment horizontal="center"/>
    </xf>
    <xf numFmtId="167" fontId="82" fillId="0" borderId="9" xfId="0" applyNumberFormat="1" applyFont="1" applyBorder="1"/>
    <xf numFmtId="41" fontId="79" fillId="0" borderId="9" xfId="0" applyNumberFormat="1" applyFont="1" applyBorder="1"/>
    <xf numFmtId="41" fontId="80" fillId="40" borderId="9" xfId="0" applyNumberFormat="1" applyFont="1" applyFill="1" applyBorder="1"/>
    <xf numFmtId="0" fontId="82" fillId="0" borderId="9" xfId="0" applyFont="1" applyBorder="1"/>
    <xf numFmtId="0" fontId="80" fillId="0" borderId="0" xfId="0" applyFont="1"/>
    <xf numFmtId="166" fontId="79" fillId="0" borderId="0" xfId="28" applyNumberFormat="1" applyFont="1" applyBorder="1" applyAlignment="1">
      <alignment horizontal="left"/>
    </xf>
    <xf numFmtId="0" fontId="78" fillId="0" borderId="0" xfId="0" applyFont="1" applyBorder="1" applyAlignment="1">
      <alignment horizontal="left"/>
    </xf>
    <xf numFmtId="0" fontId="80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0" fontId="83" fillId="0" borderId="0" xfId="0" applyFont="1" applyAlignment="1">
      <alignment horizontal="left"/>
    </xf>
    <xf numFmtId="0" fontId="94" fillId="0" borderId="0" xfId="0" applyFont="1" applyAlignment="1">
      <alignment horizontal="left"/>
    </xf>
    <xf numFmtId="166" fontId="78" fillId="0" borderId="0" xfId="28" applyNumberFormat="1" applyFont="1" applyBorder="1" applyAlignment="1">
      <alignment horizontal="left"/>
    </xf>
    <xf numFmtId="166" fontId="94" fillId="0" borderId="0" xfId="28" applyNumberFormat="1" applyFont="1" applyBorder="1" applyAlignment="1">
      <alignment horizontal="left"/>
    </xf>
    <xf numFmtId="166" fontId="83" fillId="0" borderId="0" xfId="28" applyNumberFormat="1" applyFont="1" applyBorder="1" applyAlignment="1">
      <alignment horizontal="left"/>
    </xf>
    <xf numFmtId="0" fontId="83" fillId="0" borderId="0" xfId="0" applyFont="1" applyBorder="1" applyAlignment="1">
      <alignment horizontal="left"/>
    </xf>
    <xf numFmtId="0" fontId="94" fillId="0" borderId="0" xfId="0" applyFont="1" applyBorder="1" applyAlignment="1">
      <alignment horizontal="left"/>
    </xf>
    <xf numFmtId="166" fontId="78" fillId="0" borderId="0" xfId="28" applyNumberFormat="1" applyFont="1" applyBorder="1"/>
    <xf numFmtId="0" fontId="81" fillId="0" borderId="0" xfId="0" applyFont="1"/>
    <xf numFmtId="0" fontId="83" fillId="0" borderId="0" xfId="0" applyFont="1"/>
    <xf numFmtId="166" fontId="78" fillId="0" borderId="0" xfId="28" applyNumberFormat="1" applyFont="1" applyBorder="1" applyAlignment="1">
      <alignment horizontal="center"/>
    </xf>
    <xf numFmtId="0" fontId="83" fillId="0" borderId="0" xfId="0" applyFont="1" applyBorder="1"/>
    <xf numFmtId="41" fontId="80" fillId="0" borderId="9" xfId="0" applyNumberFormat="1" applyFont="1" applyBorder="1"/>
    <xf numFmtId="41" fontId="78" fillId="0" borderId="9" xfId="0" applyNumberFormat="1" applyFont="1" applyBorder="1"/>
    <xf numFmtId="0" fontId="79" fillId="0" borderId="0" xfId="0" applyFont="1" applyBorder="1"/>
    <xf numFmtId="0" fontId="81" fillId="0" borderId="0" xfId="0" applyFont="1" applyBorder="1"/>
    <xf numFmtId="0" fontId="83" fillId="0" borderId="0" xfId="0" applyFont="1" applyBorder="1" applyAlignment="1">
      <alignment horizontal="right"/>
    </xf>
    <xf numFmtId="0" fontId="78" fillId="0" borderId="0" xfId="0" applyFont="1" applyBorder="1" applyAlignment="1">
      <alignment horizontal="right"/>
    </xf>
    <xf numFmtId="17" fontId="79" fillId="0" borderId="0" xfId="0" applyNumberFormat="1" applyFont="1" applyBorder="1"/>
    <xf numFmtId="168" fontId="79" fillId="0" borderId="0" xfId="28" applyNumberFormat="1" applyFont="1" applyBorder="1"/>
    <xf numFmtId="168" fontId="84" fillId="0" borderId="0" xfId="28" applyNumberFormat="1" applyFont="1" applyBorder="1"/>
    <xf numFmtId="0" fontId="78" fillId="0" borderId="0" xfId="0" applyFont="1" applyBorder="1" applyAlignment="1">
      <alignment horizontal="center"/>
    </xf>
    <xf numFmtId="0" fontId="80" fillId="0" borderId="0" xfId="0" applyFont="1" applyBorder="1" applyAlignment="1">
      <alignment horizontal="right"/>
    </xf>
    <xf numFmtId="0" fontId="78" fillId="0" borderId="0" xfId="0" applyFont="1" applyAlignment="1">
      <alignment horizontal="center"/>
    </xf>
    <xf numFmtId="0" fontId="85" fillId="0" borderId="0" xfId="0" applyFont="1" applyBorder="1" applyAlignment="1">
      <alignment horizontal="right"/>
    </xf>
    <xf numFmtId="0" fontId="80" fillId="0" borderId="0" xfId="0" applyFont="1" applyBorder="1"/>
    <xf numFmtId="0" fontId="96" fillId="0" borderId="0" xfId="101" applyAlignment="1">
      <alignment horizontal="left"/>
    </xf>
    <xf numFmtId="0" fontId="97" fillId="0" borderId="0" xfId="0" applyFont="1" applyBorder="1" applyAlignment="1">
      <alignment horizontal="center" vertical="center"/>
    </xf>
    <xf numFmtId="0" fontId="75" fillId="41" borderId="9" xfId="0" applyFont="1" applyFill="1" applyBorder="1" applyAlignment="1">
      <alignment horizontal="center" vertical="center" wrapText="1"/>
    </xf>
    <xf numFmtId="0" fontId="75" fillId="41" borderId="9" xfId="0" applyFont="1" applyFill="1" applyBorder="1" applyAlignment="1">
      <alignment horizontal="center" vertical="center"/>
    </xf>
    <xf numFmtId="0" fontId="75" fillId="0" borderId="9" xfId="0" applyFont="1" applyFill="1" applyBorder="1" applyAlignment="1">
      <alignment horizontal="center" vertical="center" wrapText="1"/>
    </xf>
    <xf numFmtId="165" fontId="76" fillId="41" borderId="9" xfId="0" applyNumberFormat="1" applyFont="1" applyFill="1" applyBorder="1" applyAlignment="1">
      <alignment horizontal="center" vertical="center"/>
    </xf>
    <xf numFmtId="0" fontId="75" fillId="41" borderId="10" xfId="0" applyFont="1" applyFill="1" applyBorder="1" applyAlignment="1">
      <alignment horizontal="center" vertical="center"/>
    </xf>
    <xf numFmtId="0" fontId="75" fillId="41" borderId="10" xfId="0" applyFont="1" applyFill="1" applyBorder="1" applyAlignment="1">
      <alignment horizontal="center" vertical="center" wrapText="1"/>
    </xf>
    <xf numFmtId="167" fontId="73" fillId="0" borderId="9" xfId="0" applyNumberFormat="1" applyFont="1" applyFill="1" applyBorder="1"/>
    <xf numFmtId="0" fontId="42" fillId="42" borderId="2" xfId="0" applyFont="1" applyFill="1" applyBorder="1" applyAlignment="1">
      <alignment horizontal="center" vertical="center" wrapText="1"/>
    </xf>
    <xf numFmtId="14" fontId="42" fillId="42" borderId="2" xfId="0" applyNumberFormat="1" applyFont="1" applyFill="1" applyBorder="1" applyAlignment="1">
      <alignment horizontal="center" vertical="center" wrapText="1"/>
    </xf>
    <xf numFmtId="0" fontId="99" fillId="0" borderId="0" xfId="0" applyFont="1" applyAlignment="1">
      <alignment horizontal="center" vertical="center"/>
    </xf>
    <xf numFmtId="0" fontId="99" fillId="0" borderId="1" xfId="0" applyFont="1" applyBorder="1" applyAlignment="1">
      <alignment horizontal="center" vertical="center"/>
    </xf>
    <xf numFmtId="0" fontId="82" fillId="42" borderId="11" xfId="0" applyFont="1" applyFill="1" applyBorder="1" applyAlignment="1">
      <alignment horizontal="center" vertical="center" wrapText="1"/>
    </xf>
    <xf numFmtId="0" fontId="82" fillId="42" borderId="9" xfId="0" applyFont="1" applyFill="1" applyBorder="1" applyAlignment="1">
      <alignment horizontal="center" vertical="center" wrapText="1"/>
    </xf>
    <xf numFmtId="0" fontId="50" fillId="0" borderId="5" xfId="0" applyFont="1" applyBorder="1"/>
    <xf numFmtId="41" fontId="45" fillId="0" borderId="9" xfId="34" applyNumberFormat="1" applyFont="1" applyBorder="1"/>
    <xf numFmtId="170" fontId="35" fillId="0" borderId="9" xfId="34" applyNumberFormat="1" applyFont="1" applyBorder="1"/>
    <xf numFmtId="0" fontId="50" fillId="0" borderId="0" xfId="0" applyFont="1" applyFill="1" applyAlignment="1">
      <alignment horizontal="left"/>
    </xf>
    <xf numFmtId="41" fontId="67" fillId="0" borderId="9" xfId="34" applyNumberFormat="1" applyFont="1" applyBorder="1"/>
    <xf numFmtId="168" fontId="67" fillId="0" borderId="9" xfId="28" applyNumberFormat="1" applyFont="1" applyBorder="1" applyAlignment="1">
      <alignment horizontal="right"/>
    </xf>
    <xf numFmtId="41" fontId="67" fillId="0" borderId="0" xfId="0" applyNumberFormat="1" applyFont="1" applyAlignment="1"/>
    <xf numFmtId="41" fontId="36" fillId="0" borderId="0" xfId="0" applyNumberFormat="1" applyFont="1"/>
    <xf numFmtId="41" fontId="67" fillId="0" borderId="11" xfId="34" applyNumberFormat="1" applyFont="1" applyBorder="1" applyAlignment="1">
      <alignment horizontal="center"/>
    </xf>
    <xf numFmtId="0" fontId="67" fillId="0" borderId="9" xfId="0" applyFont="1" applyBorder="1"/>
    <xf numFmtId="167" fontId="92" fillId="43" borderId="9" xfId="0" applyNumberFormat="1" applyFont="1" applyFill="1" applyBorder="1"/>
    <xf numFmtId="167" fontId="92" fillId="44" borderId="9" xfId="0" applyNumberFormat="1" applyFont="1" applyFill="1" applyBorder="1"/>
    <xf numFmtId="170" fontId="74" fillId="0" borderId="9" xfId="34" applyNumberFormat="1" applyFont="1" applyBorder="1"/>
    <xf numFmtId="0" fontId="74" fillId="0" borderId="9" xfId="0" applyFont="1" applyBorder="1" applyAlignment="1">
      <alignment horizontal="left"/>
    </xf>
    <xf numFmtId="41" fontId="67" fillId="39" borderId="9" xfId="34" applyNumberFormat="1" applyFont="1" applyFill="1" applyBorder="1"/>
    <xf numFmtId="0" fontId="101" fillId="0" borderId="9" xfId="0" applyFont="1" applyBorder="1" applyAlignment="1">
      <alignment horizontal="center" vertical="center" wrapText="1"/>
    </xf>
    <xf numFmtId="0" fontId="101" fillId="0" borderId="9" xfId="0" applyFont="1" applyFill="1" applyBorder="1" applyAlignment="1">
      <alignment horizontal="center" vertical="center" wrapText="1"/>
    </xf>
    <xf numFmtId="0" fontId="101" fillId="39" borderId="9" xfId="0" applyFont="1" applyFill="1" applyBorder="1" applyAlignment="1">
      <alignment horizontal="center" vertical="center" wrapText="1"/>
    </xf>
    <xf numFmtId="0" fontId="102" fillId="0" borderId="9" xfId="0" applyFont="1" applyBorder="1" applyAlignment="1">
      <alignment horizontal="center" vertical="center" wrapText="1"/>
    </xf>
    <xf numFmtId="0" fontId="103" fillId="0" borderId="9" xfId="0" applyFont="1" applyBorder="1" applyAlignment="1">
      <alignment horizontal="center" vertical="center" wrapText="1"/>
    </xf>
    <xf numFmtId="0" fontId="100" fillId="0" borderId="0" xfId="0" applyFont="1"/>
    <xf numFmtId="0" fontId="104" fillId="0" borderId="9" xfId="0" applyFont="1" applyBorder="1" applyAlignment="1">
      <alignment horizontal="center"/>
    </xf>
    <xf numFmtId="0" fontId="105" fillId="0" borderId="9" xfId="0" applyFont="1" applyFill="1" applyBorder="1" applyAlignment="1">
      <alignment horizontal="center" vertical="center" wrapText="1"/>
    </xf>
    <xf numFmtId="0" fontId="105" fillId="0" borderId="9" xfId="0" applyFont="1" applyBorder="1" applyAlignment="1">
      <alignment horizontal="center" vertical="center" wrapText="1"/>
    </xf>
    <xf numFmtId="0" fontId="105" fillId="0" borderId="9" xfId="0" applyFont="1" applyBorder="1" applyAlignment="1">
      <alignment horizontal="center"/>
    </xf>
    <xf numFmtId="0" fontId="106" fillId="0" borderId="9" xfId="0" applyFont="1" applyBorder="1" applyAlignment="1">
      <alignment horizontal="center"/>
    </xf>
    <xf numFmtId="0" fontId="107" fillId="0" borderId="9" xfId="0" applyFont="1" applyBorder="1" applyAlignment="1">
      <alignment horizontal="center"/>
    </xf>
    <xf numFmtId="41" fontId="108" fillId="0" borderId="9" xfId="34" applyNumberFormat="1" applyFont="1" applyFill="1" applyBorder="1" applyAlignment="1">
      <alignment horizontal="center" vertical="center"/>
    </xf>
    <xf numFmtId="168" fontId="108" fillId="0" borderId="9" xfId="34" applyNumberFormat="1" applyFont="1" applyFill="1" applyBorder="1" applyAlignment="1">
      <alignment horizontal="center" vertical="center"/>
    </xf>
    <xf numFmtId="168" fontId="108" fillId="0" borderId="9" xfId="34" applyNumberFormat="1" applyFont="1" applyBorder="1" applyAlignment="1">
      <alignment horizontal="center" vertical="center"/>
    </xf>
    <xf numFmtId="41" fontId="109" fillId="0" borderId="9" xfId="34" applyNumberFormat="1" applyFont="1" applyBorder="1"/>
    <xf numFmtId="41" fontId="108" fillId="0" borderId="9" xfId="34" applyNumberFormat="1" applyFont="1" applyBorder="1"/>
    <xf numFmtId="168" fontId="67" fillId="0" borderId="9" xfId="34" applyNumberFormat="1" applyFont="1" applyFill="1" applyBorder="1" applyAlignment="1">
      <alignment horizontal="center" vertical="center"/>
    </xf>
    <xf numFmtId="0" fontId="110" fillId="0" borderId="0" xfId="0" applyFont="1"/>
    <xf numFmtId="168" fontId="111" fillId="0" borderId="9" xfId="34" applyNumberFormat="1" applyFont="1" applyFill="1" applyBorder="1" applyAlignment="1">
      <alignment horizontal="center" vertical="center"/>
    </xf>
    <xf numFmtId="0" fontId="68" fillId="0" borderId="9" xfId="0" applyFont="1" applyBorder="1" applyAlignment="1">
      <alignment horizontal="center"/>
    </xf>
    <xf numFmtId="0" fontId="112" fillId="0" borderId="9" xfId="0" applyFont="1" applyBorder="1" applyAlignment="1">
      <alignment horizontal="center"/>
    </xf>
    <xf numFmtId="10" fontId="113" fillId="34" borderId="0" xfId="95" applyNumberFormat="1" applyFont="1" applyFill="1"/>
    <xf numFmtId="41" fontId="112" fillId="0" borderId="9" xfId="34" applyNumberFormat="1" applyFont="1" applyFill="1" applyBorder="1" applyAlignment="1">
      <alignment horizontal="center" vertical="center"/>
    </xf>
    <xf numFmtId="168" fontId="0" fillId="0" borderId="0" xfId="0" applyNumberFormat="1"/>
    <xf numFmtId="0" fontId="106" fillId="0" borderId="0" xfId="0" applyFont="1" applyBorder="1" applyAlignment="1">
      <alignment horizontal="right"/>
    </xf>
    <xf numFmtId="168" fontId="67" fillId="0" borderId="0" xfId="34" applyNumberFormat="1" applyFont="1" applyFill="1" applyBorder="1" applyAlignment="1">
      <alignment horizontal="right" vertical="center"/>
    </xf>
    <xf numFmtId="0" fontId="1" fillId="0" borderId="0" xfId="0" applyFont="1" applyAlignment="1">
      <alignment horizontal="right"/>
    </xf>
    <xf numFmtId="0" fontId="114" fillId="0" borderId="0" xfId="0" applyFont="1" applyBorder="1" applyAlignment="1">
      <alignment horizontal="right" vertical="center" wrapText="1"/>
    </xf>
    <xf numFmtId="0" fontId="115" fillId="0" borderId="0" xfId="0" applyFont="1" applyAlignment="1">
      <alignment horizontal="center"/>
    </xf>
    <xf numFmtId="0" fontId="115" fillId="34" borderId="0" xfId="0" applyFont="1" applyFill="1" applyAlignment="1">
      <alignment horizontal="center"/>
    </xf>
    <xf numFmtId="10" fontId="115" fillId="34" borderId="0" xfId="95" applyNumberFormat="1" applyFont="1" applyFill="1"/>
    <xf numFmtId="0" fontId="107" fillId="0" borderId="0" xfId="0" applyFont="1" applyAlignment="1">
      <alignment horizontal="right"/>
    </xf>
    <xf numFmtId="0" fontId="107" fillId="0" borderId="0" xfId="0" applyFont="1" applyBorder="1" applyAlignment="1">
      <alignment horizontal="right" vertical="center" wrapText="1"/>
    </xf>
    <xf numFmtId="0" fontId="107" fillId="0" borderId="0" xfId="0" applyFont="1" applyBorder="1" applyAlignment="1">
      <alignment horizontal="right"/>
    </xf>
    <xf numFmtId="168" fontId="112" fillId="0" borderId="9" xfId="34" applyNumberFormat="1" applyFont="1" applyFill="1" applyBorder="1" applyAlignment="1">
      <alignment horizontal="center" vertical="center"/>
    </xf>
    <xf numFmtId="168" fontId="112" fillId="0" borderId="9" xfId="28" applyNumberFormat="1" applyFont="1" applyBorder="1" applyAlignment="1">
      <alignment horizontal="right"/>
    </xf>
    <xf numFmtId="0" fontId="112" fillId="0" borderId="9" xfId="0" applyFont="1" applyBorder="1"/>
    <xf numFmtId="173" fontId="43" fillId="0" borderId="11" xfId="34" applyNumberFormat="1" applyFont="1" applyBorder="1" applyAlignment="1">
      <alignment horizontal="center"/>
    </xf>
    <xf numFmtId="0" fontId="67" fillId="0" borderId="30" xfId="0" applyFont="1" applyBorder="1" applyAlignment="1">
      <alignment horizontal="left"/>
    </xf>
    <xf numFmtId="167" fontId="73" fillId="43" borderId="9" xfId="0" applyNumberFormat="1" applyFont="1" applyFill="1" applyBorder="1"/>
    <xf numFmtId="41" fontId="112" fillId="0" borderId="30" xfId="34" applyNumberFormat="1" applyFont="1" applyBorder="1"/>
    <xf numFmtId="170" fontId="116" fillId="0" borderId="30" xfId="34" applyNumberFormat="1" applyFont="1" applyBorder="1" applyAlignment="1">
      <alignment horizontal="center"/>
    </xf>
    <xf numFmtId="41" fontId="67" fillId="0" borderId="30" xfId="34" applyNumberFormat="1" applyFont="1" applyBorder="1"/>
    <xf numFmtId="41" fontId="67" fillId="39" borderId="11" xfId="34" applyNumberFormat="1" applyFont="1" applyFill="1" applyBorder="1" applyAlignment="1">
      <alignment horizontal="center"/>
    </xf>
    <xf numFmtId="41" fontId="39" fillId="0" borderId="9" xfId="34" applyNumberFormat="1" applyFont="1" applyBorder="1"/>
    <xf numFmtId="41" fontId="93" fillId="0" borderId="30" xfId="34" applyNumberFormat="1" applyFont="1" applyBorder="1"/>
    <xf numFmtId="167" fontId="116" fillId="0" borderId="9" xfId="0" applyNumberFormat="1" applyFont="1" applyBorder="1" applyAlignment="1">
      <alignment horizontal="left"/>
    </xf>
    <xf numFmtId="41" fontId="68" fillId="0" borderId="30" xfId="34" applyNumberFormat="1" applyFont="1" applyBorder="1"/>
    <xf numFmtId="0" fontId="0" fillId="0" borderId="9" xfId="0" applyBorder="1" applyAlignment="1">
      <alignment horizontal="center" vertical="center"/>
    </xf>
    <xf numFmtId="43" fontId="0" fillId="0" borderId="9" xfId="28" applyFont="1" applyBorder="1" applyAlignment="1">
      <alignment horizontal="center" vertical="center"/>
    </xf>
    <xf numFmtId="10" fontId="0" fillId="0" borderId="9" xfId="95" applyNumberFormat="1" applyFont="1" applyBorder="1" applyAlignment="1">
      <alignment horizontal="center" vertical="center"/>
    </xf>
    <xf numFmtId="41" fontId="78" fillId="0" borderId="0" xfId="0" applyNumberFormat="1" applyFont="1"/>
    <xf numFmtId="41" fontId="35" fillId="0" borderId="9" xfId="0" applyNumberFormat="1" applyFont="1" applyBorder="1"/>
    <xf numFmtId="10" fontId="65" fillId="40" borderId="9" xfId="95" applyNumberFormat="1" applyFont="1" applyFill="1" applyBorder="1"/>
    <xf numFmtId="0" fontId="82" fillId="0" borderId="9" xfId="0" applyFont="1" applyFill="1" applyBorder="1" applyAlignment="1">
      <alignment horizontal="center" vertical="center" wrapText="1"/>
    </xf>
    <xf numFmtId="0" fontId="82" fillId="0" borderId="11" xfId="0" applyFont="1" applyFill="1" applyBorder="1" applyAlignment="1">
      <alignment horizontal="center" vertical="center" wrapText="1"/>
    </xf>
    <xf numFmtId="0" fontId="82" fillId="0" borderId="9" xfId="0" applyFont="1" applyFill="1" applyBorder="1" applyAlignment="1">
      <alignment horizontal="center" vertical="center" wrapText="1"/>
    </xf>
    <xf numFmtId="0" fontId="82" fillId="0" borderId="11" xfId="0" applyFont="1" applyFill="1" applyBorder="1" applyAlignment="1">
      <alignment horizontal="center" vertical="center" wrapText="1"/>
    </xf>
    <xf numFmtId="41" fontId="68" fillId="0" borderId="11" xfId="34" applyNumberFormat="1" applyFont="1" applyBorder="1" applyAlignment="1">
      <alignment horizontal="center"/>
    </xf>
    <xf numFmtId="168" fontId="61" fillId="35" borderId="0" xfId="29" quotePrefix="1" applyNumberFormat="1" applyFont="1" applyFill="1" applyBorder="1"/>
    <xf numFmtId="168" fontId="45" fillId="35" borderId="0" xfId="29" quotePrefix="1" applyNumberFormat="1" applyFont="1" applyFill="1" applyBorder="1"/>
    <xf numFmtId="0" fontId="82" fillId="0" borderId="11" xfId="0" applyFont="1" applyFill="1" applyBorder="1" applyAlignment="1">
      <alignment horizontal="center" vertical="center" wrapText="1"/>
    </xf>
    <xf numFmtId="168" fontId="54" fillId="0" borderId="0" xfId="0" applyNumberFormat="1" applyFont="1"/>
    <xf numFmtId="0" fontId="117" fillId="45" borderId="0" xfId="91" quotePrefix="1" applyFont="1" applyFill="1" applyBorder="1"/>
    <xf numFmtId="3" fontId="53" fillId="45" borderId="9" xfId="91" applyNumberFormat="1" applyFont="1" applyFill="1" applyBorder="1" applyAlignment="1">
      <alignment vertical="top"/>
    </xf>
    <xf numFmtId="0" fontId="118" fillId="0" borderId="0" xfId="91" quotePrefix="1" applyFont="1" applyFill="1" applyBorder="1"/>
    <xf numFmtId="0" fontId="118" fillId="0" borderId="0" xfId="0" applyFont="1" applyAlignment="1">
      <alignment horizontal="left"/>
    </xf>
    <xf numFmtId="168" fontId="118" fillId="35" borderId="0" xfId="29" quotePrefix="1" applyNumberFormat="1" applyFont="1" applyFill="1" applyBorder="1"/>
    <xf numFmtId="0" fontId="118" fillId="0" borderId="0" xfId="0" applyFont="1"/>
    <xf numFmtId="168" fontId="119" fillId="35" borderId="0" xfId="29" quotePrefix="1" applyNumberFormat="1" applyFont="1" applyFill="1" applyBorder="1"/>
    <xf numFmtId="0" fontId="82" fillId="0" borderId="9" xfId="0" applyFont="1" applyFill="1" applyBorder="1" applyAlignment="1">
      <alignment horizontal="center" vertical="center" wrapText="1"/>
    </xf>
    <xf numFmtId="0" fontId="82" fillId="0" borderId="11" xfId="0" applyFont="1" applyFill="1" applyBorder="1" applyAlignment="1">
      <alignment horizontal="center" vertical="center" wrapText="1"/>
    </xf>
    <xf numFmtId="41" fontId="112" fillId="0" borderId="9" xfId="34" applyNumberFormat="1" applyFont="1" applyBorder="1"/>
    <xf numFmtId="167" fontId="120" fillId="0" borderId="9" xfId="0" applyNumberFormat="1" applyFont="1" applyBorder="1"/>
    <xf numFmtId="0" fontId="60" fillId="0" borderId="0" xfId="0" applyFont="1" applyAlignment="1">
      <alignment horizontal="left"/>
    </xf>
    <xf numFmtId="0" fontId="121" fillId="36" borderId="0" xfId="87" applyFont="1" applyFill="1" applyAlignment="1">
      <alignment horizontal="center"/>
    </xf>
    <xf numFmtId="0" fontId="38" fillId="0" borderId="11" xfId="0" applyFont="1" applyFill="1" applyBorder="1" applyAlignment="1">
      <alignment horizontal="center" vertical="center" wrapText="1"/>
    </xf>
    <xf numFmtId="0" fontId="122" fillId="0" borderId="9" xfId="0" applyFont="1" applyFill="1" applyBorder="1" applyAlignment="1">
      <alignment horizontal="center" vertical="center" wrapText="1"/>
    </xf>
    <xf numFmtId="0" fontId="38" fillId="37" borderId="9" xfId="0" applyFont="1" applyFill="1" applyBorder="1" applyAlignment="1">
      <alignment horizontal="center" vertical="center" wrapText="1"/>
    </xf>
    <xf numFmtId="0" fontId="123" fillId="41" borderId="9" xfId="0" applyFont="1" applyFill="1" applyBorder="1" applyAlignment="1">
      <alignment horizontal="center" vertical="center" wrapText="1"/>
    </xf>
    <xf numFmtId="0" fontId="123" fillId="41" borderId="9" xfId="0" applyFont="1" applyFill="1" applyBorder="1" applyAlignment="1">
      <alignment horizontal="center" vertical="center"/>
    </xf>
    <xf numFmtId="0" fontId="123" fillId="0" borderId="9" xfId="0" applyFont="1" applyFill="1" applyBorder="1" applyAlignment="1">
      <alignment horizontal="center" vertical="center" wrapText="1"/>
    </xf>
    <xf numFmtId="165" fontId="124" fillId="41" borderId="9" xfId="0" applyNumberFormat="1" applyFont="1" applyFill="1" applyBorder="1" applyAlignment="1">
      <alignment horizontal="center" vertical="center"/>
    </xf>
    <xf numFmtId="0" fontId="123" fillId="41" borderId="10" xfId="0" applyFont="1" applyFill="1" applyBorder="1" applyAlignment="1">
      <alignment horizontal="center" vertical="center"/>
    </xf>
    <xf numFmtId="0" fontId="123" fillId="41" borderId="10" xfId="0" applyFont="1" applyFill="1" applyBorder="1" applyAlignment="1">
      <alignment horizontal="center" vertical="center" wrapText="1"/>
    </xf>
    <xf numFmtId="0" fontId="123" fillId="0" borderId="0" xfId="0" applyFont="1" applyAlignment="1">
      <alignment horizontal="center"/>
    </xf>
    <xf numFmtId="0" fontId="82" fillId="0" borderId="9" xfId="0" applyFont="1" applyFill="1" applyBorder="1" applyAlignment="1">
      <alignment horizontal="center" vertical="center" wrapText="1"/>
    </xf>
    <xf numFmtId="0" fontId="82" fillId="0" borderId="11" xfId="0" applyFont="1" applyFill="1" applyBorder="1" applyAlignment="1">
      <alignment horizontal="center" vertical="center" wrapText="1"/>
    </xf>
    <xf numFmtId="173" fontId="120" fillId="0" borderId="11" xfId="34" applyNumberFormat="1" applyFont="1" applyBorder="1" applyAlignment="1">
      <alignment horizontal="center"/>
    </xf>
    <xf numFmtId="0" fontId="82" fillId="0" borderId="9" xfId="0" applyFont="1" applyFill="1" applyBorder="1" applyAlignment="1">
      <alignment horizontal="center" vertical="center" wrapText="1"/>
    </xf>
    <xf numFmtId="0" fontId="82" fillId="0" borderId="11" xfId="0" applyFont="1" applyFill="1" applyBorder="1" applyAlignment="1">
      <alignment horizontal="center" vertical="center" wrapText="1"/>
    </xf>
    <xf numFmtId="173" fontId="125" fillId="0" borderId="11" xfId="34" applyNumberFormat="1" applyFont="1" applyBorder="1" applyAlignment="1">
      <alignment horizontal="center"/>
    </xf>
    <xf numFmtId="167" fontId="125" fillId="0" borderId="9" xfId="0" applyNumberFormat="1" applyFont="1" applyBorder="1"/>
    <xf numFmtId="0" fontId="112" fillId="0" borderId="9" xfId="0" applyFont="1" applyFill="1" applyBorder="1" applyAlignment="1">
      <alignment horizontal="left"/>
    </xf>
    <xf numFmtId="0" fontId="82" fillId="0" borderId="9" xfId="0" applyFont="1" applyFill="1" applyBorder="1" applyAlignment="1">
      <alignment horizontal="center" vertical="center" wrapText="1"/>
    </xf>
    <xf numFmtId="0" fontId="82" fillId="0" borderId="11" xfId="0" applyFont="1" applyFill="1" applyBorder="1" applyAlignment="1">
      <alignment horizontal="center" vertical="center" wrapText="1"/>
    </xf>
    <xf numFmtId="0" fontId="67" fillId="0" borderId="9" xfId="0" applyFont="1" applyFill="1" applyBorder="1" applyAlignment="1">
      <alignment horizontal="left"/>
    </xf>
    <xf numFmtId="167" fontId="65" fillId="0" borderId="9" xfId="0" applyNumberFormat="1" applyFont="1" applyBorder="1"/>
    <xf numFmtId="41" fontId="41" fillId="40" borderId="9" xfId="0" applyNumberFormat="1" applyFont="1" applyFill="1" applyBorder="1"/>
    <xf numFmtId="0" fontId="36" fillId="0" borderId="0" xfId="91" applyFont="1" applyFill="1" applyBorder="1" applyAlignment="1">
      <alignment horizontal="center"/>
    </xf>
    <xf numFmtId="0" fontId="39" fillId="0" borderId="0" xfId="91" applyFont="1" applyFill="1" applyBorder="1" applyAlignment="1">
      <alignment horizontal="center"/>
    </xf>
    <xf numFmtId="172" fontId="43" fillId="0" borderId="0" xfId="91" quotePrefix="1" applyNumberFormat="1" applyFont="1" applyFill="1" applyBorder="1" applyAlignment="1">
      <alignment horizontal="right"/>
    </xf>
    <xf numFmtId="0" fontId="35" fillId="0" borderId="15" xfId="91" applyFont="1" applyFill="1" applyBorder="1" applyAlignment="1">
      <alignment horizontal="center"/>
    </xf>
    <xf numFmtId="172" fontId="36" fillId="0" borderId="0" xfId="91" quotePrefix="1" applyNumberFormat="1" applyFont="1" applyFill="1" applyBorder="1" applyAlignment="1">
      <alignment horizontal="right"/>
    </xf>
    <xf numFmtId="172" fontId="50" fillId="0" borderId="0" xfId="91" quotePrefix="1" applyNumberFormat="1" applyFont="1" applyFill="1" applyBorder="1" applyAlignment="1">
      <alignment horizontal="right"/>
    </xf>
    <xf numFmtId="172" fontId="35" fillId="0" borderId="0" xfId="91" quotePrefix="1" applyNumberFormat="1" applyFont="1" applyFill="1" applyBorder="1" applyAlignment="1">
      <alignment horizontal="center"/>
    </xf>
    <xf numFmtId="0" fontId="38" fillId="0" borderId="9" xfId="0" applyFont="1" applyFill="1" applyBorder="1" applyAlignment="1">
      <alignment horizontal="center" vertical="center" wrapText="1"/>
    </xf>
    <xf numFmtId="0" fontId="42" fillId="0" borderId="11" xfId="0" applyFont="1" applyFill="1" applyBorder="1" applyAlignment="1">
      <alignment horizontal="center" vertical="center" wrapText="1"/>
    </xf>
    <xf numFmtId="0" fontId="38" fillId="46" borderId="31" xfId="0" applyFont="1" applyFill="1" applyBorder="1" applyAlignment="1">
      <alignment horizontal="center" vertical="center" wrapText="1"/>
    </xf>
    <xf numFmtId="0" fontId="38" fillId="46" borderId="32" xfId="0" applyFont="1" applyFill="1" applyBorder="1" applyAlignment="1">
      <alignment horizontal="center" vertical="center" wrapText="1"/>
    </xf>
    <xf numFmtId="0" fontId="38" fillId="46" borderId="33" xfId="0" applyFont="1" applyFill="1" applyBorder="1" applyAlignment="1">
      <alignment horizontal="center" vertical="center" wrapText="1"/>
    </xf>
    <xf numFmtId="0" fontId="38" fillId="0" borderId="31" xfId="0" applyFont="1" applyFill="1" applyBorder="1" applyAlignment="1">
      <alignment horizontal="center" vertical="center" wrapText="1"/>
    </xf>
    <xf numFmtId="0" fontId="38" fillId="0" borderId="32" xfId="0" applyFont="1" applyFill="1" applyBorder="1" applyAlignment="1">
      <alignment horizontal="center" vertical="center" wrapText="1"/>
    </xf>
    <xf numFmtId="0" fontId="38" fillId="0" borderId="33" xfId="0" applyFont="1" applyFill="1" applyBorder="1" applyAlignment="1">
      <alignment horizontal="center" vertical="center" wrapText="1"/>
    </xf>
    <xf numFmtId="0" fontId="9" fillId="0" borderId="9" xfId="0" applyFont="1" applyFill="1" applyBorder="1" applyAlignment="1">
      <alignment horizontal="center" vertical="center"/>
    </xf>
    <xf numFmtId="0" fontId="38" fillId="0" borderId="9" xfId="0" applyFont="1" applyFill="1" applyBorder="1" applyAlignment="1">
      <alignment horizontal="center" vertical="center"/>
    </xf>
    <xf numFmtId="0" fontId="82" fillId="0" borderId="9" xfId="0" applyFont="1" applyFill="1" applyBorder="1" applyAlignment="1">
      <alignment horizontal="center" vertical="center" wrapText="1"/>
    </xf>
    <xf numFmtId="0" fontId="82" fillId="0" borderId="11" xfId="0" applyFont="1" applyFill="1" applyBorder="1" applyAlignment="1">
      <alignment horizontal="center" vertical="center" wrapText="1"/>
    </xf>
    <xf numFmtId="0" fontId="82" fillId="42" borderId="31" xfId="0" applyFont="1" applyFill="1" applyBorder="1" applyAlignment="1">
      <alignment horizontal="center" vertical="center" wrapText="1"/>
    </xf>
    <xf numFmtId="0" fontId="82" fillId="42" borderId="32" xfId="0" applyFont="1" applyFill="1" applyBorder="1" applyAlignment="1">
      <alignment horizontal="center" vertical="center" wrapText="1"/>
    </xf>
    <xf numFmtId="0" fontId="82" fillId="42" borderId="33" xfId="0" applyFont="1" applyFill="1" applyBorder="1" applyAlignment="1">
      <alignment horizontal="center" vertical="center" wrapText="1"/>
    </xf>
    <xf numFmtId="0" fontId="82" fillId="0" borderId="31" xfId="0" applyFont="1" applyFill="1" applyBorder="1" applyAlignment="1">
      <alignment horizontal="center" vertical="center" wrapText="1"/>
    </xf>
    <xf numFmtId="0" fontId="82" fillId="0" borderId="32" xfId="0" applyFont="1" applyFill="1" applyBorder="1" applyAlignment="1">
      <alignment horizontal="center" vertical="center" wrapText="1"/>
    </xf>
    <xf numFmtId="0" fontId="82" fillId="0" borderId="33" xfId="0" applyFont="1" applyFill="1" applyBorder="1" applyAlignment="1">
      <alignment horizontal="center" vertical="center" wrapText="1"/>
    </xf>
    <xf numFmtId="0" fontId="86" fillId="0" borderId="9" xfId="0" applyFont="1" applyFill="1" applyBorder="1" applyAlignment="1">
      <alignment horizontal="center" vertical="center"/>
    </xf>
    <xf numFmtId="0" fontId="82" fillId="0" borderId="9" xfId="0" applyFont="1" applyFill="1" applyBorder="1" applyAlignment="1">
      <alignment horizontal="center" vertical="center"/>
    </xf>
    <xf numFmtId="0" fontId="42" fillId="0" borderId="16" xfId="0" applyFont="1" applyFill="1" applyBorder="1" applyAlignment="1">
      <alignment horizontal="center" vertical="center" wrapText="1"/>
    </xf>
    <xf numFmtId="0" fontId="42" fillId="0" borderId="17" xfId="0" applyFont="1" applyFill="1" applyBorder="1" applyAlignment="1">
      <alignment horizontal="center" vertical="center" wrapText="1"/>
    </xf>
    <xf numFmtId="0" fontId="42" fillId="42" borderId="12" xfId="0" applyFont="1" applyFill="1" applyBorder="1" applyAlignment="1">
      <alignment horizontal="center" vertical="center" wrapText="1"/>
    </xf>
    <xf numFmtId="0" fontId="42" fillId="42" borderId="2" xfId="0" applyFont="1" applyFill="1" applyBorder="1" applyAlignment="1">
      <alignment horizontal="center" vertical="center" wrapText="1"/>
    </xf>
    <xf numFmtId="17" fontId="42" fillId="0" borderId="18" xfId="0" applyNumberFormat="1" applyFont="1" applyFill="1" applyBorder="1" applyAlignment="1">
      <alignment horizontal="center" vertical="center" wrapText="1"/>
    </xf>
    <xf numFmtId="17" fontId="42" fillId="0" borderId="19" xfId="0" applyNumberFormat="1" applyFont="1" applyFill="1" applyBorder="1" applyAlignment="1">
      <alignment horizontal="center" vertical="center" wrapText="1"/>
    </xf>
    <xf numFmtId="17" fontId="42" fillId="0" borderId="20" xfId="0" applyNumberFormat="1" applyFont="1" applyFill="1" applyBorder="1" applyAlignment="1">
      <alignment horizontal="center" vertical="center" wrapText="1"/>
    </xf>
  </cellXfs>
  <cellStyles count="10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" xfId="28" builtinId="3"/>
    <cellStyle name="Comma 2" xfId="29"/>
    <cellStyle name="Comma 2 2" xfId="30"/>
    <cellStyle name="Comma 3" xfId="31"/>
    <cellStyle name="Comma 3 2" xfId="32"/>
    <cellStyle name="Comma 3 3" xfId="33"/>
    <cellStyle name="Comma 4" xfId="34"/>
    <cellStyle name="Comma 5" xfId="35"/>
    <cellStyle name="Comma 6" xfId="36"/>
    <cellStyle name="Comma 7" xfId="37"/>
    <cellStyle name="Comma 8" xfId="38"/>
    <cellStyle name="Currency 2" xfId="39"/>
    <cellStyle name="Explanatory Text" xfId="40" builtinId="53" customBuiltin="1"/>
    <cellStyle name="Good" xfId="41" builtinId="26" customBuiltin="1"/>
    <cellStyle name="Heading 1" xfId="42" builtinId="16" customBuiltin="1"/>
    <cellStyle name="Heading 2" xfId="43" builtinId="17" customBuiltin="1"/>
    <cellStyle name="Heading 3" xfId="44" builtinId="18" customBuiltin="1"/>
    <cellStyle name="Heading 4" xfId="45" builtinId="19" customBuiltin="1"/>
    <cellStyle name="Hyperlink" xfId="101" builtinId="8"/>
    <cellStyle name="Input" xfId="46" builtinId="20" customBuiltin="1"/>
    <cellStyle name="Linked Cell" xfId="47" builtinId="24" customBuiltin="1"/>
    <cellStyle name="Neutral" xfId="48" builtinId="28" customBuiltin="1"/>
    <cellStyle name="Normal" xfId="0" builtinId="0"/>
    <cellStyle name="Normal - Style1" xfId="49"/>
    <cellStyle name="Normal 10" xfId="50"/>
    <cellStyle name="Normal 11" xfId="51"/>
    <cellStyle name="Normal 12" xfId="52"/>
    <cellStyle name="Normal 13" xfId="53"/>
    <cellStyle name="Normal 14" xfId="54"/>
    <cellStyle name="Normal 15" xfId="55"/>
    <cellStyle name="Normal 16" xfId="56"/>
    <cellStyle name="Normal 17" xfId="57"/>
    <cellStyle name="Normal 18" xfId="58"/>
    <cellStyle name="Normal 19" xfId="59"/>
    <cellStyle name="Normal 2" xfId="60"/>
    <cellStyle name="Normal 2 2" xfId="61"/>
    <cellStyle name="Normal 20" xfId="62"/>
    <cellStyle name="Normal 21" xfId="63"/>
    <cellStyle name="Normal 22" xfId="64"/>
    <cellStyle name="Normal 23" xfId="65"/>
    <cellStyle name="Normal 24" xfId="66"/>
    <cellStyle name="Normal 25" xfId="67"/>
    <cellStyle name="Normal 26" xfId="68"/>
    <cellStyle name="Normal 27" xfId="69"/>
    <cellStyle name="Normal 28" xfId="70"/>
    <cellStyle name="Normal 29" xfId="71"/>
    <cellStyle name="Normal 3" xfId="72"/>
    <cellStyle name="Normal 3 2" xfId="73"/>
    <cellStyle name="Normal 3 3" xfId="74"/>
    <cellStyle name="Normal 30" xfId="75"/>
    <cellStyle name="Normal 31" xfId="76"/>
    <cellStyle name="Normal 31 2" xfId="77"/>
    <cellStyle name="Normal 32" xfId="78"/>
    <cellStyle name="Normal 33" xfId="79"/>
    <cellStyle name="Normal 34" xfId="80"/>
    <cellStyle name="Normal 35" xfId="81"/>
    <cellStyle name="Normal 36" xfId="82"/>
    <cellStyle name="Normal 37" xfId="83"/>
    <cellStyle name="Normal 38" xfId="84"/>
    <cellStyle name="Normal 4" xfId="85"/>
    <cellStyle name="Normal 5" xfId="86"/>
    <cellStyle name="Normal 6" xfId="87"/>
    <cellStyle name="Normal 7" xfId="88"/>
    <cellStyle name="Normal 8" xfId="89"/>
    <cellStyle name="Normal 9" xfId="90"/>
    <cellStyle name="Normal_BC thang 04" xfId="91"/>
    <cellStyle name="Normal_NK 11-06" xfId="92"/>
    <cellStyle name="Note 2" xfId="93"/>
    <cellStyle name="Output" xfId="94" builtinId="21" customBuiltin="1"/>
    <cellStyle name="Percent" xfId="95" builtinId="5"/>
    <cellStyle name="Percent 2" xfId="96"/>
    <cellStyle name="Title" xfId="97" builtinId="15" customBuiltin="1"/>
    <cellStyle name="Total" xfId="98" builtinId="25" customBuiltin="1"/>
    <cellStyle name="Warning Text" xfId="99" builtinId="11" customBuiltin="1"/>
    <cellStyle name="一般_expense format" xfId="100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7</xdr:row>
          <xdr:rowOff>76200</xdr:rowOff>
        </xdr:from>
        <xdr:to>
          <xdr:col>9</xdr:col>
          <xdr:colOff>327660</xdr:colOff>
          <xdr:row>8</xdr:row>
          <xdr:rowOff>7620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to Pdf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OneDrive\HA%20HUYNH\HHG-Helen\01-LGP-MHE\LGP-01-ACC%20EXPENSE%20RP\LGP-EXPENSE%20RP%202021\LGP-OFF-RP%20CB%202021\LGP-OFF%20CB-2021T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eipt"/>
      <sheetName val="JAN"/>
      <sheetName val="DEC"/>
      <sheetName val="NOV"/>
      <sheetName val="Leave"/>
      <sheetName val="Assu"/>
    </sheetNames>
    <sheetDataSet>
      <sheetData sheetId="0"/>
      <sheetData sheetId="1"/>
      <sheetData sheetId="2"/>
      <sheetData sheetId="3"/>
      <sheetData sheetId="4"/>
      <sheetData sheetId="5">
        <row r="3">
          <cell r="E3">
            <v>29800000</v>
          </cell>
        </row>
        <row r="4">
          <cell r="E4">
            <v>29800000</v>
          </cell>
        </row>
        <row r="5">
          <cell r="E5">
            <v>94588000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P62"/>
  <sheetViews>
    <sheetView showGridLines="0" zoomScaleNormal="100" workbookViewId="0">
      <selection activeCell="E24" sqref="E24"/>
    </sheetView>
  </sheetViews>
  <sheetFormatPr defaultColWidth="9.33203125" defaultRowHeight="14.4"/>
  <cols>
    <col min="1" max="1" width="28.5546875" style="59" customWidth="1"/>
    <col min="2" max="2" width="50" style="59" customWidth="1"/>
    <col min="3" max="3" width="12.6640625" style="59" customWidth="1"/>
    <col min="4" max="4" width="10" style="59" customWidth="1"/>
    <col min="5" max="5" width="11" style="59" bestFit="1" customWidth="1"/>
    <col min="6" max="6" width="10" style="59" bestFit="1" customWidth="1"/>
    <col min="7" max="7" width="9" style="59" bestFit="1" customWidth="1"/>
    <col min="8" max="8" width="2.33203125" style="59" bestFit="1" customWidth="1"/>
    <col min="9" max="9" width="6.88671875" style="59" bestFit="1" customWidth="1"/>
    <col min="10" max="10" width="7.33203125" style="59" bestFit="1" customWidth="1"/>
    <col min="11" max="11" width="9" style="59" bestFit="1" customWidth="1"/>
    <col min="12" max="12" width="9.33203125" style="59" customWidth="1"/>
    <col min="13" max="13" width="9" style="59" bestFit="1" customWidth="1"/>
    <col min="14" max="14" width="9" style="59" customWidth="1"/>
    <col min="15" max="16" width="9" style="59" bestFit="1" customWidth="1"/>
    <col min="17" max="17" width="7" style="59" bestFit="1" customWidth="1"/>
    <col min="18" max="18" width="9.109375" style="59" bestFit="1" customWidth="1"/>
    <col min="19" max="19" width="8.33203125" style="59" bestFit="1" customWidth="1"/>
    <col min="20" max="21" width="7" style="59" bestFit="1" customWidth="1"/>
    <col min="22" max="25" width="8.33203125" style="59" bestFit="1" customWidth="1"/>
    <col min="26" max="27" width="9" style="59" bestFit="1" customWidth="1"/>
    <col min="28" max="30" width="8.33203125" style="59" bestFit="1" customWidth="1"/>
    <col min="31" max="31" width="9.109375" style="59" customWidth="1"/>
    <col min="32" max="32" width="8.33203125" style="59" bestFit="1" customWidth="1"/>
    <col min="33" max="33" width="8.33203125" style="59" customWidth="1"/>
    <col min="34" max="34" width="9" style="59" customWidth="1"/>
    <col min="35" max="35" width="8.33203125" style="59" bestFit="1" customWidth="1"/>
    <col min="36" max="36" width="12.5546875" style="59" customWidth="1"/>
    <col min="37" max="37" width="7.33203125" style="59" customWidth="1"/>
    <col min="38" max="38" width="10.6640625" style="59" customWidth="1"/>
    <col min="39" max="39" width="7.109375" style="59" bestFit="1" customWidth="1"/>
    <col min="40" max="40" width="10.6640625" style="59" customWidth="1"/>
    <col min="41" max="41" width="15.33203125" style="59" bestFit="1" customWidth="1"/>
    <col min="42" max="42" width="9.44140625" style="59" bestFit="1" customWidth="1"/>
    <col min="43" max="16384" width="9.33203125" style="59"/>
  </cols>
  <sheetData>
    <row r="1" spans="1:42" s="335" customFormat="1" ht="30.6">
      <c r="A1" s="329" t="s">
        <v>73</v>
      </c>
      <c r="B1" s="329" t="s">
        <v>68</v>
      </c>
      <c r="C1" s="329" t="s">
        <v>146</v>
      </c>
      <c r="D1" s="329" t="s">
        <v>66</v>
      </c>
      <c r="E1" s="329" t="s">
        <v>85</v>
      </c>
      <c r="F1" s="329" t="s">
        <v>18</v>
      </c>
      <c r="G1" s="330" t="s">
        <v>24</v>
      </c>
      <c r="H1" s="331" t="s">
        <v>21</v>
      </c>
      <c r="I1" s="331" t="s">
        <v>22</v>
      </c>
      <c r="J1" s="331" t="s">
        <v>0</v>
      </c>
      <c r="K1" s="330" t="s">
        <v>149</v>
      </c>
      <c r="L1" s="330" t="s">
        <v>151</v>
      </c>
      <c r="M1" s="329" t="s">
        <v>152</v>
      </c>
      <c r="N1" s="329" t="s">
        <v>374</v>
      </c>
      <c r="O1" s="329" t="s">
        <v>375</v>
      </c>
      <c r="P1" s="329" t="s">
        <v>76</v>
      </c>
      <c r="Q1" s="330" t="s">
        <v>24</v>
      </c>
      <c r="R1" s="332" t="s">
        <v>25</v>
      </c>
      <c r="S1" s="332" t="s">
        <v>26</v>
      </c>
      <c r="T1" s="332" t="s">
        <v>27</v>
      </c>
      <c r="U1" s="333" t="s">
        <v>79</v>
      </c>
      <c r="V1" s="329" t="s">
        <v>88</v>
      </c>
      <c r="W1" s="330" t="s">
        <v>4</v>
      </c>
      <c r="X1" s="330" t="s">
        <v>3</v>
      </c>
      <c r="Y1" s="333" t="s">
        <v>81</v>
      </c>
      <c r="Z1" s="334" t="s">
        <v>84</v>
      </c>
      <c r="AA1" s="334" t="s">
        <v>1</v>
      </c>
      <c r="AB1" s="329" t="s">
        <v>34</v>
      </c>
      <c r="AC1" s="329" t="s">
        <v>35</v>
      </c>
      <c r="AD1" s="329" t="s">
        <v>155</v>
      </c>
      <c r="AE1" s="329" t="s">
        <v>40</v>
      </c>
      <c r="AF1" s="329" t="s">
        <v>28</v>
      </c>
      <c r="AG1" s="329" t="s">
        <v>48</v>
      </c>
      <c r="AH1" s="329" t="s">
        <v>1</v>
      </c>
      <c r="AI1" s="333" t="s">
        <v>86</v>
      </c>
      <c r="AJ1" s="333" t="s">
        <v>96</v>
      </c>
      <c r="AK1" s="333" t="s">
        <v>97</v>
      </c>
      <c r="AL1" s="333" t="s">
        <v>109</v>
      </c>
      <c r="AM1" s="333" t="s">
        <v>183</v>
      </c>
      <c r="AN1" s="333" t="s">
        <v>110</v>
      </c>
      <c r="AO1" s="333" t="s">
        <v>111</v>
      </c>
      <c r="AP1" s="334" t="s">
        <v>376</v>
      </c>
    </row>
    <row r="2" spans="1:42" s="84" customFormat="1" ht="15" customHeight="1">
      <c r="A2" s="109">
        <v>13</v>
      </c>
      <c r="B2" s="110" t="str">
        <f ca="1">VLOOKUP($A$2,INDIRECT($A3&amp;"!$A$10:$AZ$41"),COLUMN(),FALSE)</f>
        <v>Ngô Nguyên Thụy</v>
      </c>
      <c r="C2" s="110" t="str">
        <f t="shared" ref="C2:AP2" ca="1" si="0">VLOOKUP($A$2,INDIRECT($A3&amp;"!$A$10:$AZ$41"),COLUMN(),FALSE)</f>
        <v>LGL</v>
      </c>
      <c r="D2" s="110" t="str">
        <f t="shared" ca="1" si="0"/>
        <v>LGL-OPS</v>
      </c>
      <c r="E2" s="110">
        <f t="shared" ca="1" si="0"/>
        <v>41974</v>
      </c>
      <c r="F2" s="110" t="str">
        <f t="shared" ca="1" si="0"/>
        <v>813 209 9335</v>
      </c>
      <c r="G2" s="110">
        <f t="shared" ca="1" si="0"/>
        <v>16500000</v>
      </c>
      <c r="H2" s="110">
        <f t="shared" ca="1" si="0"/>
        <v>24</v>
      </c>
      <c r="I2" s="110">
        <f t="shared" ca="1" si="0"/>
        <v>0</v>
      </c>
      <c r="J2" s="110">
        <f t="shared" ca="1" si="0"/>
        <v>24</v>
      </c>
      <c r="K2" s="110">
        <f t="shared" ca="1" si="0"/>
        <v>16500000</v>
      </c>
      <c r="L2" s="110">
        <f t="shared" ca="1" si="0"/>
        <v>0</v>
      </c>
      <c r="M2" s="110">
        <f t="shared" ca="1" si="0"/>
        <v>16500000</v>
      </c>
      <c r="N2" s="110">
        <f t="shared" ca="1" si="0"/>
        <v>0</v>
      </c>
      <c r="O2" s="110">
        <f t="shared" ca="1" si="0"/>
        <v>700000</v>
      </c>
      <c r="P2" s="110">
        <f t="shared" ca="1" si="0"/>
        <v>0</v>
      </c>
      <c r="Q2" s="110">
        <f t="shared" ca="1" si="0"/>
        <v>17200000</v>
      </c>
      <c r="R2" s="110">
        <f t="shared" ca="1" si="0"/>
        <v>1320000</v>
      </c>
      <c r="S2" s="110">
        <f t="shared" ca="1" si="0"/>
        <v>247500</v>
      </c>
      <c r="T2" s="110">
        <f t="shared" ca="1" si="0"/>
        <v>165000</v>
      </c>
      <c r="U2" s="110">
        <f t="shared" ca="1" si="0"/>
        <v>1732500</v>
      </c>
      <c r="V2" s="110">
        <f t="shared" ca="1" si="0"/>
        <v>0</v>
      </c>
      <c r="W2" s="110">
        <f t="shared" ca="1" si="0"/>
        <v>0</v>
      </c>
      <c r="X2" s="110">
        <f t="shared" ca="1" si="0"/>
        <v>11000000</v>
      </c>
      <c r="Y2" s="110">
        <f t="shared" ca="1" si="0"/>
        <v>11000000</v>
      </c>
      <c r="Z2" s="110">
        <f t="shared" ca="1" si="0"/>
        <v>4467500</v>
      </c>
      <c r="AA2" s="110">
        <f t="shared" ca="1" si="0"/>
        <v>223375</v>
      </c>
      <c r="AB2" s="110">
        <f t="shared" ca="1" si="0"/>
        <v>0</v>
      </c>
      <c r="AC2" s="110">
        <f t="shared" ca="1" si="0"/>
        <v>0</v>
      </c>
      <c r="AD2" s="110">
        <f t="shared" ca="1" si="0"/>
        <v>15244125</v>
      </c>
      <c r="AE2" s="110">
        <f t="shared" ca="1" si="0"/>
        <v>3877500</v>
      </c>
      <c r="AF2" s="110">
        <f t="shared" ca="1" si="0"/>
        <v>5609999.9999999991</v>
      </c>
      <c r="AG2" s="110">
        <f t="shared" ca="1" si="0"/>
        <v>1433333.3333333333</v>
      </c>
      <c r="AH2" s="110">
        <f t="shared" ca="1" si="0"/>
        <v>223375</v>
      </c>
      <c r="AI2" s="110">
        <f t="shared" ca="1" si="0"/>
        <v>0</v>
      </c>
      <c r="AJ2" s="110">
        <f t="shared" ca="1" si="0"/>
        <v>0</v>
      </c>
      <c r="AK2" s="110" t="str">
        <f t="shared" ca="1" si="0"/>
        <v>phu cap le 30/04 &amp; 01/05</v>
      </c>
      <c r="AL2" s="110">
        <f t="shared" ca="1" si="0"/>
        <v>0</v>
      </c>
      <c r="AM2" s="110" t="str">
        <f t="shared" ca="1" si="0"/>
        <v>tam ung</v>
      </c>
      <c r="AN2" s="110" t="str">
        <f t="shared" ca="1" si="0"/>
        <v>053 100 029 7068</v>
      </c>
      <c r="AO2" s="110" t="str">
        <f t="shared" ca="1" si="0"/>
        <v>VCB-CN DONG SAI GON</v>
      </c>
      <c r="AP2" s="110" t="str">
        <f t="shared" ca="1" si="0"/>
        <v>Bank</v>
      </c>
    </row>
    <row r="3" spans="1:42" s="84" customFormat="1" ht="13.8">
      <c r="A3" s="325" t="s">
        <v>427</v>
      </c>
      <c r="B3" s="82"/>
      <c r="C3" s="82"/>
      <c r="D3" s="83"/>
      <c r="E3" s="83"/>
      <c r="F3" s="83"/>
      <c r="G3" s="83"/>
      <c r="H3" s="83"/>
      <c r="I3" s="83"/>
      <c r="J3" s="83"/>
      <c r="K3" s="83"/>
    </row>
    <row r="4" spans="1:42">
      <c r="A4" s="121" t="s">
        <v>135</v>
      </c>
      <c r="C4" s="60"/>
      <c r="D4" s="90" t="s">
        <v>8</v>
      </c>
    </row>
    <row r="5" spans="1:42">
      <c r="A5" s="122" t="s">
        <v>372</v>
      </c>
      <c r="B5" s="60"/>
      <c r="C5" s="61"/>
      <c r="D5" s="91" t="s">
        <v>9</v>
      </c>
    </row>
    <row r="6" spans="1:42">
      <c r="A6" s="107" t="s">
        <v>216</v>
      </c>
      <c r="B6" s="62"/>
      <c r="C6" s="62"/>
      <c r="D6" s="92" t="s">
        <v>10</v>
      </c>
      <c r="I6" s="116" t="s">
        <v>108</v>
      </c>
      <c r="J6" s="117">
        <v>1</v>
      </c>
      <c r="K6" s="116" t="s">
        <v>107</v>
      </c>
      <c r="L6" s="117">
        <v>21</v>
      </c>
    </row>
    <row r="7" spans="1:42" ht="7.2" customHeight="1">
      <c r="A7" s="62"/>
      <c r="B7" s="62"/>
      <c r="C7" s="62"/>
      <c r="D7" s="62"/>
    </row>
    <row r="8" spans="1:42" ht="27.6" customHeight="1">
      <c r="B8" s="89" t="s">
        <v>17</v>
      </c>
      <c r="C8" s="88"/>
      <c r="D8" s="87" t="str">
        <f>"Số LGW-PC-2104-0" &amp; A2</f>
        <v>Số LGW-PC-2104-013</v>
      </c>
    </row>
    <row r="9" spans="1:42" ht="15.6">
      <c r="B9" s="64" t="str">
        <f ca="1">"Chi tiết Lương Tháng "&amp; MONTH(TODAY()) &amp; " Năm " &amp; YEAR(TODAY())</f>
        <v>Chi tiết Lương Tháng 4 Năm 2021</v>
      </c>
      <c r="C9" s="353">
        <v>44315</v>
      </c>
      <c r="D9" s="353"/>
      <c r="F9" s="355"/>
      <c r="G9" s="355"/>
      <c r="H9" s="355"/>
      <c r="I9" s="355"/>
      <c r="J9" s="355"/>
      <c r="K9" s="63"/>
      <c r="L9" s="64"/>
      <c r="M9" s="65"/>
      <c r="N9" s="65"/>
      <c r="O9" s="351"/>
      <c r="P9" s="351"/>
    </row>
    <row r="10" spans="1:42" ht="5.4" customHeight="1">
      <c r="A10" s="62"/>
      <c r="B10" s="62"/>
      <c r="C10" s="62"/>
      <c r="D10" s="62"/>
      <c r="L10" s="64"/>
      <c r="M10" s="66"/>
      <c r="N10" s="66"/>
      <c r="O10" s="66"/>
      <c r="P10" s="66"/>
    </row>
    <row r="11" spans="1:42" ht="15.6">
      <c r="A11" s="94" t="s">
        <v>52</v>
      </c>
      <c r="B11" s="67" t="str">
        <f ca="1">B2</f>
        <v>Ngô Nguyên Thụy</v>
      </c>
      <c r="C11" s="68"/>
      <c r="D11" s="62"/>
      <c r="M11" s="66"/>
      <c r="N11" s="66"/>
      <c r="O11" s="66"/>
      <c r="P11" s="66"/>
    </row>
    <row r="12" spans="1:42">
      <c r="A12" s="94" t="s">
        <v>53</v>
      </c>
      <c r="B12" s="69" t="s">
        <v>428</v>
      </c>
      <c r="C12" s="80">
        <f ca="1">K2</f>
        <v>16500000</v>
      </c>
      <c r="D12" s="78" t="s">
        <v>11</v>
      </c>
      <c r="F12" s="69"/>
      <c r="K12" s="69"/>
    </row>
    <row r="13" spans="1:42">
      <c r="A13" s="78" t="s">
        <v>98</v>
      </c>
      <c r="B13" s="237">
        <f ca="1">AI2</f>
        <v>0</v>
      </c>
      <c r="C13" s="80">
        <f ca="1">L2</f>
        <v>0</v>
      </c>
      <c r="D13" s="78" t="s">
        <v>11</v>
      </c>
      <c r="E13" s="101"/>
      <c r="F13" s="69"/>
      <c r="K13" s="69"/>
    </row>
    <row r="14" spans="1:42">
      <c r="A14" s="78" t="s">
        <v>99</v>
      </c>
      <c r="B14" s="85">
        <f ca="1">AJ2</f>
        <v>0</v>
      </c>
      <c r="C14" s="80">
        <f ca="1">N2</f>
        <v>0</v>
      </c>
      <c r="D14" s="78" t="s">
        <v>11</v>
      </c>
      <c r="E14" s="101"/>
      <c r="L14" s="62"/>
    </row>
    <row r="15" spans="1:42">
      <c r="A15" s="78" t="s">
        <v>178</v>
      </c>
      <c r="B15" s="31" t="str">
        <f ca="1">AK2</f>
        <v>phu cap le 30/04 &amp; 01/05</v>
      </c>
      <c r="C15" s="80">
        <f ca="1">O2</f>
        <v>700000</v>
      </c>
      <c r="D15" s="78" t="s">
        <v>11</v>
      </c>
    </row>
    <row r="16" spans="1:42">
      <c r="A16" s="78" t="s">
        <v>63</v>
      </c>
      <c r="B16" s="85">
        <f ca="1">AL2</f>
        <v>0</v>
      </c>
      <c r="C16" s="80">
        <f ca="1">P2</f>
        <v>0</v>
      </c>
      <c r="D16" s="78" t="s">
        <v>11</v>
      </c>
    </row>
    <row r="17" spans="1:9">
      <c r="A17" s="93" t="s">
        <v>54</v>
      </c>
      <c r="B17" s="96" t="s">
        <v>57</v>
      </c>
      <c r="C17" s="309">
        <f ca="1">R2</f>
        <v>1320000</v>
      </c>
      <c r="D17" s="78" t="s">
        <v>11</v>
      </c>
    </row>
    <row r="18" spans="1:9">
      <c r="A18" s="93" t="s">
        <v>55</v>
      </c>
      <c r="B18" s="96" t="s">
        <v>50</v>
      </c>
      <c r="C18" s="309">
        <f ca="1">S2</f>
        <v>247500</v>
      </c>
      <c r="D18" s="78" t="s">
        <v>11</v>
      </c>
      <c r="I18" s="70"/>
    </row>
    <row r="19" spans="1:9">
      <c r="A19" s="93" t="s">
        <v>56</v>
      </c>
      <c r="B19" s="96" t="s">
        <v>58</v>
      </c>
      <c r="C19" s="309">
        <f ca="1">T2</f>
        <v>165000</v>
      </c>
      <c r="D19" s="78" t="s">
        <v>11</v>
      </c>
    </row>
    <row r="20" spans="1:9">
      <c r="A20" s="315" t="s">
        <v>59</v>
      </c>
      <c r="B20" s="316" t="str">
        <f ca="1">W2  &amp; " person x 4.400.000/person"</f>
        <v>0 person x 4.400.000/person</v>
      </c>
      <c r="C20" s="317">
        <f ca="1">W2</f>
        <v>0</v>
      </c>
      <c r="D20" s="78" t="s">
        <v>11</v>
      </c>
    </row>
    <row r="21" spans="1:9">
      <c r="A21" s="315" t="s">
        <v>60</v>
      </c>
      <c r="B21" s="318" t="s">
        <v>316</v>
      </c>
      <c r="C21" s="317">
        <f ca="1">X2</f>
        <v>11000000</v>
      </c>
      <c r="D21" s="78" t="s">
        <v>11</v>
      </c>
    </row>
    <row r="22" spans="1:9" ht="15" customHeight="1">
      <c r="A22" s="315" t="s">
        <v>92</v>
      </c>
      <c r="B22" s="318" t="s">
        <v>94</v>
      </c>
      <c r="C22" s="319">
        <f ca="1">Z2</f>
        <v>4467500</v>
      </c>
      <c r="D22" s="78" t="s">
        <v>11</v>
      </c>
      <c r="I22" s="70"/>
    </row>
    <row r="23" spans="1:9" ht="15" customHeight="1">
      <c r="A23" s="99" t="s">
        <v>91</v>
      </c>
      <c r="B23" s="96" t="s">
        <v>95</v>
      </c>
      <c r="C23" s="310">
        <f ca="1">AA2</f>
        <v>223375</v>
      </c>
      <c r="D23" s="78" t="s">
        <v>11</v>
      </c>
      <c r="I23" s="70"/>
    </row>
    <row r="24" spans="1:9" ht="15" customHeight="1">
      <c r="A24" s="93" t="s">
        <v>61</v>
      </c>
      <c r="B24" s="324" t="str">
        <f ca="1">AM2</f>
        <v>tam ung</v>
      </c>
      <c r="C24" s="310">
        <f ca="1">AB2</f>
        <v>0</v>
      </c>
      <c r="D24" s="78" t="s">
        <v>11</v>
      </c>
      <c r="E24" s="312"/>
      <c r="F24" s="93"/>
      <c r="I24" s="70"/>
    </row>
    <row r="25" spans="1:9" ht="15.6">
      <c r="A25" s="313" t="s">
        <v>93</v>
      </c>
      <c r="B25" s="71"/>
      <c r="C25" s="314">
        <f ca="1">SUM(C12:C16)-SUM(C17:C19)-C23-C24</f>
        <v>15244125</v>
      </c>
      <c r="D25" s="78" t="s">
        <v>11</v>
      </c>
      <c r="E25" s="312">
        <f ca="1">SUM(C12:C16)-SUM(C17:C19)-SUM(C23:C24)</f>
        <v>15244125</v>
      </c>
      <c r="F25" s="101"/>
      <c r="G25" s="73"/>
      <c r="I25" s="70"/>
    </row>
    <row r="26" spans="1:9" ht="8.4" customHeight="1">
      <c r="A26" s="74"/>
      <c r="B26" s="62"/>
      <c r="C26" s="62"/>
      <c r="D26" s="75"/>
      <c r="I26" s="70"/>
    </row>
    <row r="27" spans="1:9">
      <c r="A27" s="97">
        <f>C9</f>
        <v>44315</v>
      </c>
      <c r="B27" s="62"/>
      <c r="C27" s="62"/>
      <c r="D27" s="75"/>
      <c r="E27" s="101"/>
      <c r="I27" s="70"/>
    </row>
    <row r="28" spans="1:9">
      <c r="A28" s="76" t="s">
        <v>12</v>
      </c>
      <c r="B28" s="77" t="s">
        <v>13</v>
      </c>
      <c r="C28" s="349" t="s">
        <v>14</v>
      </c>
      <c r="D28" s="349"/>
      <c r="I28" s="70"/>
    </row>
    <row r="29" spans="1:9">
      <c r="A29" s="76"/>
      <c r="B29" s="77"/>
      <c r="C29" s="77"/>
      <c r="D29" s="77"/>
      <c r="I29" s="70"/>
    </row>
    <row r="30" spans="1:9">
      <c r="A30" s="76"/>
      <c r="B30" s="77"/>
      <c r="C30" s="77"/>
      <c r="D30" s="77"/>
      <c r="I30" s="70"/>
    </row>
    <row r="31" spans="1:9">
      <c r="A31" s="78"/>
      <c r="B31" s="78"/>
      <c r="C31" s="78"/>
      <c r="D31" s="78"/>
    </row>
    <row r="32" spans="1:9">
      <c r="A32" s="76" t="s">
        <v>51</v>
      </c>
      <c r="B32" s="77" t="s">
        <v>62</v>
      </c>
      <c r="C32" s="350" t="str">
        <f ca="1">B11</f>
        <v>Ngô Nguyên Thụy</v>
      </c>
      <c r="D32" s="350"/>
      <c r="E32" s="79"/>
    </row>
    <row r="33" spans="1:16" s="81" customFormat="1" ht="12">
      <c r="A33" s="352" t="s">
        <v>15</v>
      </c>
      <c r="B33" s="352"/>
      <c r="C33" s="352"/>
      <c r="D33" s="352"/>
    </row>
    <row r="34" spans="1:16">
      <c r="A34" s="106" t="s">
        <v>138</v>
      </c>
      <c r="C34" s="60"/>
      <c r="D34" s="90" t="s">
        <v>8</v>
      </c>
    </row>
    <row r="35" spans="1:16">
      <c r="A35" s="108" t="s">
        <v>136</v>
      </c>
      <c r="B35" s="60"/>
      <c r="C35" s="61"/>
      <c r="D35" s="91" t="s">
        <v>9</v>
      </c>
    </row>
    <row r="36" spans="1:16">
      <c r="A36" s="107" t="s">
        <v>137</v>
      </c>
      <c r="B36" s="62"/>
      <c r="C36" s="62"/>
      <c r="D36" s="92" t="s">
        <v>10</v>
      </c>
    </row>
    <row r="37" spans="1:16" ht="11.25" customHeight="1">
      <c r="A37" s="62"/>
      <c r="B37" s="62"/>
      <c r="C37" s="62"/>
      <c r="D37" s="62"/>
    </row>
    <row r="38" spans="1:16" ht="23.4" customHeight="1">
      <c r="B38" s="89" t="str">
        <f>B8</f>
        <v>PHIẾU CHI LƯƠNG</v>
      </c>
      <c r="C38" s="88"/>
      <c r="D38" s="87" t="str">
        <f>D8</f>
        <v>Số LGW-PC-2104-013</v>
      </c>
    </row>
    <row r="39" spans="1:16" ht="15.6">
      <c r="B39" s="64" t="str">
        <f ca="1">B9</f>
        <v>Chi tiết Lương Tháng 4 Năm 2021</v>
      </c>
      <c r="C39" s="354">
        <f>C9</f>
        <v>44315</v>
      </c>
      <c r="D39" s="354">
        <f>C9</f>
        <v>44315</v>
      </c>
      <c r="J39" s="63"/>
      <c r="K39" s="63"/>
      <c r="L39" s="64"/>
      <c r="M39" s="65"/>
      <c r="N39" s="65"/>
      <c r="O39" s="351"/>
      <c r="P39" s="351"/>
    </row>
    <row r="40" spans="1:16" ht="6.6" customHeight="1">
      <c r="A40" s="62"/>
      <c r="B40" s="64"/>
      <c r="C40" s="62"/>
      <c r="D40" s="62"/>
      <c r="M40" s="66"/>
      <c r="N40" s="66"/>
      <c r="O40" s="66"/>
      <c r="P40" s="66"/>
    </row>
    <row r="41" spans="1:16">
      <c r="A41" s="94" t="s">
        <v>52</v>
      </c>
      <c r="B41" s="78" t="str">
        <f ca="1">B11</f>
        <v>Ngô Nguyên Thụy</v>
      </c>
      <c r="C41" s="95"/>
      <c r="D41" s="95"/>
      <c r="M41" s="66"/>
      <c r="N41" s="66"/>
      <c r="O41" s="66"/>
      <c r="P41" s="66"/>
    </row>
    <row r="42" spans="1:16">
      <c r="A42" s="94" t="s">
        <v>53</v>
      </c>
      <c r="B42" s="78" t="str">
        <f>B12</f>
        <v>Lương căn bản tháng 04/2021</v>
      </c>
      <c r="C42" s="95">
        <f ca="1">C12</f>
        <v>16500000</v>
      </c>
      <c r="D42" s="95" t="str">
        <f>D12</f>
        <v>đồng</v>
      </c>
    </row>
    <row r="43" spans="1:16">
      <c r="A43" s="78" t="s">
        <v>98</v>
      </c>
      <c r="B43" s="78">
        <f t="shared" ref="B43:C54" ca="1" si="1">B14</f>
        <v>0</v>
      </c>
      <c r="C43" s="95">
        <f t="shared" ca="1" si="1"/>
        <v>0</v>
      </c>
      <c r="D43" s="95" t="str">
        <f t="shared" ref="D43:D54" si="2">D14</f>
        <v>đồng</v>
      </c>
      <c r="L43" s="62"/>
    </row>
    <row r="44" spans="1:16">
      <c r="A44" s="78" t="s">
        <v>99</v>
      </c>
      <c r="B44" s="78" t="str">
        <f t="shared" ca="1" si="1"/>
        <v>phu cap le 30/04 &amp; 01/05</v>
      </c>
      <c r="C44" s="95">
        <f t="shared" ca="1" si="1"/>
        <v>700000</v>
      </c>
      <c r="D44" s="95" t="str">
        <f t="shared" si="2"/>
        <v>đồng</v>
      </c>
    </row>
    <row r="45" spans="1:16">
      <c r="A45" s="78" t="s">
        <v>63</v>
      </c>
      <c r="B45" s="78">
        <f t="shared" ca="1" si="1"/>
        <v>0</v>
      </c>
      <c r="C45" s="95">
        <f t="shared" ca="1" si="1"/>
        <v>0</v>
      </c>
      <c r="D45" s="95" t="str">
        <f t="shared" si="2"/>
        <v>đồng</v>
      </c>
    </row>
    <row r="46" spans="1:16">
      <c r="A46" s="93" t="s">
        <v>54</v>
      </c>
      <c r="B46" s="78" t="str">
        <f t="shared" si="1"/>
        <v>( =8.0% on Basic Salary)</v>
      </c>
      <c r="C46" s="95">
        <f t="shared" ca="1" si="1"/>
        <v>1320000</v>
      </c>
      <c r="D46" s="95" t="str">
        <f t="shared" si="2"/>
        <v>đồng</v>
      </c>
    </row>
    <row r="47" spans="1:16">
      <c r="A47" s="93" t="s">
        <v>55</v>
      </c>
      <c r="B47" s="78" t="str">
        <f t="shared" si="1"/>
        <v>( =1.5% on Basic Salary)</v>
      </c>
      <c r="C47" s="95">
        <f t="shared" ca="1" si="1"/>
        <v>247500</v>
      </c>
      <c r="D47" s="95" t="str">
        <f t="shared" si="2"/>
        <v>đồng</v>
      </c>
      <c r="I47" s="70"/>
    </row>
    <row r="48" spans="1:16">
      <c r="A48" s="93" t="s">
        <v>56</v>
      </c>
      <c r="B48" s="78" t="str">
        <f t="shared" si="1"/>
        <v>( =1.0% on Basic Salary)</v>
      </c>
      <c r="C48" s="95">
        <f t="shared" ca="1" si="1"/>
        <v>165000</v>
      </c>
      <c r="D48" s="95" t="str">
        <f t="shared" si="2"/>
        <v>đồng</v>
      </c>
    </row>
    <row r="49" spans="1:9">
      <c r="A49" s="102" t="s">
        <v>59</v>
      </c>
      <c r="B49" s="78" t="str">
        <f t="shared" ca="1" si="1"/>
        <v>0 person x 4.400.000/person</v>
      </c>
      <c r="C49" s="95">
        <f t="shared" ca="1" si="1"/>
        <v>0</v>
      </c>
      <c r="D49" s="95" t="str">
        <f t="shared" si="2"/>
        <v>đồng</v>
      </c>
    </row>
    <row r="50" spans="1:9">
      <c r="A50" s="102" t="s">
        <v>60</v>
      </c>
      <c r="B50" s="78" t="str">
        <f t="shared" si="1"/>
        <v>(vnd 11,000,000/ person )</v>
      </c>
      <c r="C50" s="95">
        <f t="shared" ca="1" si="1"/>
        <v>11000000</v>
      </c>
      <c r="D50" s="95" t="str">
        <f t="shared" si="2"/>
        <v>đồng</v>
      </c>
    </row>
    <row r="51" spans="1:9" ht="15" customHeight="1">
      <c r="A51" s="102" t="s">
        <v>92</v>
      </c>
      <c r="B51" s="78" t="str">
        <f t="shared" si="1"/>
        <v>TNCN tính thuế = Tổng TNCN – Các khoản giảm trừ</v>
      </c>
      <c r="C51" s="95">
        <f t="shared" ca="1" si="1"/>
        <v>4467500</v>
      </c>
      <c r="D51" s="95" t="str">
        <f t="shared" si="2"/>
        <v>đồng</v>
      </c>
      <c r="I51" s="70"/>
    </row>
    <row r="52" spans="1:9" ht="15" customHeight="1">
      <c r="A52" s="99" t="s">
        <v>91</v>
      </c>
      <c r="B52" s="78" t="str">
        <f t="shared" si="1"/>
        <v>Thuế TNCN = TNCN tính thuế  x  Tỉ lệ thuế theo biểu thuế</v>
      </c>
      <c r="C52" s="95">
        <f t="shared" ca="1" si="1"/>
        <v>223375</v>
      </c>
      <c r="D52" s="95" t="str">
        <f t="shared" si="2"/>
        <v>đồng</v>
      </c>
      <c r="I52" s="70"/>
    </row>
    <row r="53" spans="1:9" ht="15" customHeight="1">
      <c r="A53" s="93" t="s">
        <v>61</v>
      </c>
      <c r="B53" s="78" t="str">
        <f t="shared" ca="1" si="1"/>
        <v>tam ung</v>
      </c>
      <c r="C53" s="95">
        <f t="shared" ca="1" si="1"/>
        <v>0</v>
      </c>
      <c r="D53" s="95" t="str">
        <f t="shared" si="2"/>
        <v>đồng</v>
      </c>
      <c r="I53" s="70"/>
    </row>
    <row r="54" spans="1:9" ht="15.6">
      <c r="A54" s="94" t="s">
        <v>93</v>
      </c>
      <c r="B54" s="78">
        <f t="shared" si="1"/>
        <v>0</v>
      </c>
      <c r="C54" s="72">
        <f t="shared" ca="1" si="1"/>
        <v>15244125</v>
      </c>
      <c r="D54" s="95" t="str">
        <f t="shared" si="2"/>
        <v>đồng</v>
      </c>
      <c r="E54" s="73"/>
      <c r="I54" s="70"/>
    </row>
    <row r="55" spans="1:9" ht="5.4" customHeight="1">
      <c r="A55" s="86"/>
      <c r="B55" s="64"/>
      <c r="C55" s="95"/>
      <c r="D55" s="95"/>
      <c r="I55" s="70"/>
    </row>
    <row r="56" spans="1:9" ht="14.4" customHeight="1">
      <c r="A56" s="97">
        <f>A27</f>
        <v>44315</v>
      </c>
      <c r="B56" s="64"/>
      <c r="C56" s="95"/>
      <c r="D56" s="95"/>
      <c r="I56" s="70"/>
    </row>
    <row r="57" spans="1:9" ht="12.6" customHeight="1">
      <c r="A57" s="76" t="str">
        <f>A28</f>
        <v>(TL)Giám đốc</v>
      </c>
      <c r="B57" s="103" t="str">
        <f>B28</f>
        <v>Người thanh toán</v>
      </c>
      <c r="C57" s="349" t="str">
        <f>C28</f>
        <v>Người nhận tiền</v>
      </c>
      <c r="D57" s="349"/>
      <c r="I57" s="70"/>
    </row>
    <row r="58" spans="1:9" ht="13.95" customHeight="1">
      <c r="A58" s="86"/>
      <c r="B58" s="64"/>
      <c r="C58" s="95"/>
      <c r="D58" s="95"/>
      <c r="I58" s="70"/>
    </row>
    <row r="59" spans="1:9" ht="13.2" customHeight="1">
      <c r="A59" s="86"/>
      <c r="B59" s="64"/>
      <c r="C59" s="95"/>
      <c r="D59" s="95"/>
      <c r="I59" s="70"/>
    </row>
    <row r="60" spans="1:9" ht="13.95" customHeight="1">
      <c r="A60" s="86"/>
      <c r="B60" s="64"/>
      <c r="C60" s="95"/>
      <c r="D60" s="95"/>
      <c r="I60" s="70"/>
    </row>
    <row r="61" spans="1:9">
      <c r="A61" s="76" t="str">
        <f>A32</f>
        <v>Huỳnh Hà</v>
      </c>
      <c r="B61" s="103" t="str">
        <f>B32</f>
        <v>Ke toan</v>
      </c>
      <c r="C61" s="350" t="str">
        <f ca="1">C32</f>
        <v>Ngô Nguyên Thụy</v>
      </c>
      <c r="D61" s="350" t="str">
        <f ca="1">C32</f>
        <v>Ngô Nguyên Thụy</v>
      </c>
      <c r="E61" s="79"/>
    </row>
    <row r="62" spans="1:9">
      <c r="A62" s="76"/>
      <c r="B62" s="103" t="s">
        <v>105</v>
      </c>
      <c r="C62" s="350"/>
      <c r="D62" s="350"/>
      <c r="E62" s="79"/>
    </row>
  </sheetData>
  <mergeCells count="11">
    <mergeCell ref="C57:D57"/>
    <mergeCell ref="C61:D61"/>
    <mergeCell ref="C62:D62"/>
    <mergeCell ref="O39:P39"/>
    <mergeCell ref="O9:P9"/>
    <mergeCell ref="C28:D28"/>
    <mergeCell ref="C32:D32"/>
    <mergeCell ref="A33:D33"/>
    <mergeCell ref="C9:D9"/>
    <mergeCell ref="C39:D39"/>
    <mergeCell ref="F9:J9"/>
  </mergeCells>
  <pageMargins left="0.2" right="0.1" top="0.15" bottom="0.1" header="0.31496062992126" footer="0.31496062992126"/>
  <pageSetup paperSize="11" scale="9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Print2pdf">
                <anchor moveWithCells="1" sizeWithCells="1">
                  <from>
                    <xdr:col>8</xdr:col>
                    <xdr:colOff>45720</xdr:colOff>
                    <xdr:row>7</xdr:row>
                    <xdr:rowOff>76200</xdr:rowOff>
                  </from>
                  <to>
                    <xdr:col>9</xdr:col>
                    <xdr:colOff>327660</xdr:colOff>
                    <xdr:row>8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1:AT76"/>
  <sheetViews>
    <sheetView showGridLines="0" tabSelected="1" zoomScaleNormal="100" workbookViewId="0">
      <pane xSplit="7" ySplit="8" topLeftCell="X27" activePane="bottomRight" state="frozen"/>
      <selection pane="topRight" activeCell="G1" sqref="G1"/>
      <selection pane="bottomLeft" activeCell="A9" sqref="A9"/>
      <selection pane="bottomRight" activeCell="AD42" sqref="AD42"/>
    </sheetView>
  </sheetViews>
  <sheetFormatPr defaultColWidth="9.33203125" defaultRowHeight="13.8"/>
  <cols>
    <col min="1" max="1" width="3.6640625" style="132" customWidth="1"/>
    <col min="2" max="2" width="22" style="176" customWidth="1"/>
    <col min="3" max="3" width="5.5546875" style="133" customWidth="1"/>
    <col min="4" max="4" width="6.6640625" style="133" customWidth="1"/>
    <col min="5" max="5" width="8.33203125" style="133" customWidth="1"/>
    <col min="6" max="6" width="10.33203125" style="133" customWidth="1"/>
    <col min="7" max="7" width="12" style="132" bestFit="1" customWidth="1"/>
    <col min="8" max="8" width="5.6640625" style="132" bestFit="1" customWidth="1"/>
    <col min="9" max="9" width="2.6640625" style="132" customWidth="1"/>
    <col min="10" max="10" width="5.5546875" style="132" customWidth="1"/>
    <col min="11" max="12" width="12" style="188" bestFit="1" customWidth="1"/>
    <col min="13" max="13" width="12" style="201" bestFit="1" customWidth="1"/>
    <col min="14" max="14" width="12.109375" style="202" customWidth="1"/>
    <col min="15" max="15" width="11" style="202" bestFit="1" customWidth="1"/>
    <col min="16" max="16" width="10" style="132" bestFit="1" customWidth="1"/>
    <col min="17" max="17" width="12" style="188" customWidth="1"/>
    <col min="18" max="18" width="11" style="132" customWidth="1"/>
    <col min="19" max="19" width="10" style="132" bestFit="1" customWidth="1"/>
    <col min="20" max="20" width="10" style="132" customWidth="1"/>
    <col min="21" max="21" width="11" style="132" customWidth="1"/>
    <col min="22" max="22" width="4.109375" style="132" customWidth="1"/>
    <col min="23" max="23" width="11" style="132" customWidth="1"/>
    <col min="24" max="25" width="12" style="132" customWidth="1"/>
    <col min="26" max="26" width="12.33203125" style="216" customWidth="1"/>
    <col min="27" max="27" width="12.33203125" style="132" customWidth="1"/>
    <col min="28" max="28" width="10.33203125" style="202" customWidth="1"/>
    <col min="29" max="29" width="10.88671875" style="202" customWidth="1"/>
    <col min="30" max="30" width="12" style="132" bestFit="1" customWidth="1"/>
    <col min="31" max="31" width="11" style="132" customWidth="1"/>
    <col min="32" max="32" width="11.6640625" style="132" bestFit="1" customWidth="1"/>
    <col min="33" max="33" width="12.44140625" style="132" bestFit="1" customWidth="1"/>
    <col min="34" max="34" width="12.33203125" style="132" customWidth="1"/>
    <col min="35" max="35" width="7.77734375" style="134" customWidth="1"/>
    <col min="36" max="37" width="7.77734375" style="133" customWidth="1"/>
    <col min="38" max="39" width="7.77734375" style="134" customWidth="1"/>
    <col min="40" max="40" width="13.88671875" style="134" customWidth="1"/>
    <col min="41" max="41" width="22.6640625" style="134" bestFit="1" customWidth="1"/>
    <col min="42" max="42" width="5" style="134" bestFit="1" customWidth="1"/>
    <col min="43" max="16384" width="9.33203125" style="132"/>
  </cols>
  <sheetData>
    <row r="1" spans="1:46" s="2" customFormat="1" ht="18" customHeight="1">
      <c r="B1" s="220" t="s">
        <v>180</v>
      </c>
      <c r="C1" s="118"/>
      <c r="D1" s="118" t="s">
        <v>139</v>
      </c>
      <c r="E1" s="1"/>
      <c r="F1" s="1"/>
      <c r="J1" s="5" t="s">
        <v>202</v>
      </c>
      <c r="K1" s="5"/>
      <c r="L1" s="12"/>
      <c r="M1" s="125"/>
      <c r="N1" s="39"/>
      <c r="O1" s="39"/>
      <c r="P1" s="39"/>
      <c r="Q1" s="12"/>
      <c r="U1" s="1"/>
      <c r="AB1" s="49"/>
      <c r="AC1" s="49"/>
      <c r="AI1" s="55"/>
      <c r="AJ1" s="1"/>
      <c r="AK1" s="1"/>
      <c r="AL1" s="55"/>
      <c r="AM1" s="55"/>
      <c r="AN1" s="55"/>
      <c r="AO1" s="55"/>
      <c r="AP1" s="55"/>
    </row>
    <row r="2" spans="1:46" s="2" customFormat="1" ht="14.1" customHeight="1">
      <c r="B2" s="119" t="s">
        <v>363</v>
      </c>
      <c r="C2" s="5"/>
      <c r="D2" s="5" t="s">
        <v>181</v>
      </c>
      <c r="E2" s="1"/>
      <c r="F2" s="44"/>
      <c r="G2" s="40"/>
      <c r="H2" s="40"/>
      <c r="I2" s="1"/>
      <c r="J2" s="5" t="s">
        <v>373</v>
      </c>
      <c r="K2" s="5"/>
      <c r="L2" s="1"/>
      <c r="M2" s="126"/>
      <c r="N2" s="1"/>
      <c r="O2" s="1"/>
      <c r="P2" s="1"/>
      <c r="Q2" s="13"/>
      <c r="U2" s="1"/>
      <c r="AB2" s="49"/>
      <c r="AC2" s="49"/>
      <c r="AI2" s="55"/>
      <c r="AJ2" s="1"/>
      <c r="AK2" s="1"/>
      <c r="AL2" s="55"/>
      <c r="AM2" s="55"/>
      <c r="AN2" s="55"/>
      <c r="AO2" s="55"/>
      <c r="AP2" s="55"/>
    </row>
    <row r="3" spans="1:46" s="2" customFormat="1" ht="14.1" customHeight="1" thickBot="1">
      <c r="A3" s="53"/>
      <c r="B3" s="53"/>
      <c r="C3" s="4"/>
      <c r="D3" s="4" t="s">
        <v>182</v>
      </c>
      <c r="E3" s="4"/>
      <c r="F3" s="45"/>
      <c r="G3" s="41"/>
      <c r="H3" s="41"/>
      <c r="I3" s="4"/>
      <c r="J3" s="4" t="s">
        <v>366</v>
      </c>
      <c r="K3" s="4"/>
      <c r="L3" s="4"/>
      <c r="M3" s="127"/>
      <c r="N3" s="4"/>
      <c r="O3" s="4"/>
      <c r="P3" s="4"/>
      <c r="Q3" s="15"/>
      <c r="R3" s="16"/>
      <c r="S3" s="16"/>
      <c r="T3" s="16"/>
      <c r="U3" s="4"/>
      <c r="V3" s="16"/>
      <c r="W3" s="16"/>
      <c r="X3" s="16"/>
      <c r="Y3" s="16"/>
      <c r="Z3" s="16"/>
      <c r="AA3" s="16"/>
      <c r="AB3" s="41"/>
      <c r="AC3" s="41"/>
      <c r="AD3" s="16"/>
      <c r="AE3" s="16"/>
      <c r="AF3" s="16"/>
      <c r="AG3" s="16"/>
      <c r="AH3" s="16"/>
      <c r="AI3" s="56"/>
      <c r="AJ3" s="4"/>
      <c r="AK3" s="4"/>
      <c r="AL3" s="56"/>
      <c r="AM3" s="56"/>
      <c r="AN3" s="56"/>
      <c r="AO3" s="56"/>
      <c r="AP3" s="56"/>
    </row>
    <row r="4" spans="1:46" s="17" customFormat="1" ht="12" customHeight="1">
      <c r="B4" s="54"/>
      <c r="C4" s="5"/>
      <c r="D4" s="5"/>
      <c r="E4" s="5"/>
      <c r="F4" s="3"/>
      <c r="G4" s="42"/>
      <c r="H4" s="42"/>
      <c r="I4" s="42"/>
      <c r="J4" s="42"/>
      <c r="K4" s="14"/>
      <c r="L4" s="14"/>
      <c r="M4" s="128"/>
      <c r="N4" s="42"/>
      <c r="O4" s="42"/>
      <c r="P4" s="42"/>
      <c r="Q4" s="14"/>
      <c r="AB4" s="42"/>
      <c r="AC4" s="42"/>
      <c r="AI4" s="57"/>
      <c r="AJ4" s="5"/>
      <c r="AK4" s="5"/>
      <c r="AL4" s="57"/>
      <c r="AM4" s="57"/>
      <c r="AN4" s="57"/>
      <c r="AO4" s="57"/>
      <c r="AP4" s="57"/>
    </row>
    <row r="5" spans="1:46" s="18" customFormat="1" ht="21">
      <c r="B5" s="100" t="s">
        <v>416</v>
      </c>
      <c r="C5" s="46"/>
      <c r="D5" s="46"/>
      <c r="E5" s="46"/>
      <c r="F5" s="46"/>
      <c r="G5" s="43"/>
      <c r="H5" s="43"/>
      <c r="I5" s="43"/>
      <c r="J5" s="43"/>
      <c r="K5" s="19"/>
      <c r="L5" s="19"/>
      <c r="M5" s="129"/>
      <c r="N5" s="43"/>
      <c r="O5" s="43"/>
      <c r="P5" s="43"/>
      <c r="Q5" s="19"/>
      <c r="R5" s="19"/>
      <c r="S5" s="19"/>
      <c r="T5" s="20"/>
      <c r="U5" s="19"/>
      <c r="V5" s="19"/>
      <c r="W5" s="19"/>
      <c r="X5" s="19"/>
      <c r="Y5" s="19"/>
      <c r="Z5" s="19"/>
      <c r="AA5" s="19"/>
      <c r="AB5" s="19"/>
      <c r="AC5" s="19"/>
      <c r="AD5" s="240"/>
      <c r="AE5" s="19"/>
      <c r="AF5" s="19"/>
      <c r="AG5" s="19"/>
      <c r="AH5" s="19"/>
      <c r="AI5" s="58"/>
      <c r="AJ5" s="6"/>
      <c r="AK5" s="6"/>
      <c r="AL5" s="11"/>
      <c r="AM5" s="11"/>
      <c r="AN5" s="11"/>
      <c r="AO5" s="11"/>
      <c r="AP5" s="11"/>
    </row>
    <row r="7" spans="1:46" s="135" customFormat="1" ht="12" customHeight="1">
      <c r="A7" s="326" t="s">
        <v>16</v>
      </c>
      <c r="B7" s="326" t="s">
        <v>67</v>
      </c>
      <c r="C7" s="326" t="s">
        <v>145</v>
      </c>
      <c r="D7" s="326" t="s">
        <v>101</v>
      </c>
      <c r="E7" s="326" t="s">
        <v>147</v>
      </c>
      <c r="F7" s="326" t="s">
        <v>72</v>
      </c>
      <c r="G7" s="326" t="s">
        <v>23</v>
      </c>
      <c r="H7" s="357" t="s">
        <v>103</v>
      </c>
      <c r="I7" s="357"/>
      <c r="J7" s="357"/>
      <c r="K7" s="358" t="s">
        <v>74</v>
      </c>
      <c r="L7" s="359"/>
      <c r="M7" s="360"/>
      <c r="N7" s="361" t="s">
        <v>75</v>
      </c>
      <c r="O7" s="362"/>
      <c r="P7" s="363"/>
      <c r="Q7" s="232" t="s">
        <v>77</v>
      </c>
      <c r="R7" s="364" t="s">
        <v>177</v>
      </c>
      <c r="S7" s="365"/>
      <c r="T7" s="365"/>
      <c r="U7" s="326" t="s">
        <v>78</v>
      </c>
      <c r="V7" s="364" t="s">
        <v>176</v>
      </c>
      <c r="W7" s="365"/>
      <c r="X7" s="365"/>
      <c r="Y7" s="326" t="s">
        <v>80</v>
      </c>
      <c r="Z7" s="326" t="s">
        <v>82</v>
      </c>
      <c r="AA7" s="326" t="s">
        <v>83</v>
      </c>
      <c r="AB7" s="356" t="s">
        <v>33</v>
      </c>
      <c r="AC7" s="356"/>
      <c r="AD7" s="328" t="s">
        <v>156</v>
      </c>
      <c r="AE7" s="344" t="s">
        <v>157</v>
      </c>
      <c r="AF7" s="344" t="s">
        <v>158</v>
      </c>
      <c r="AG7" s="344" t="s">
        <v>159</v>
      </c>
      <c r="AH7" s="344" t="s">
        <v>83</v>
      </c>
      <c r="AI7" s="345"/>
      <c r="AJ7" s="345"/>
      <c r="AK7" s="345"/>
      <c r="AL7" s="345"/>
      <c r="AM7" s="345"/>
      <c r="AN7" s="345"/>
      <c r="AO7" s="345"/>
      <c r="AP7" s="345"/>
    </row>
    <row r="8" spans="1:46" s="130" customFormat="1" ht="24">
      <c r="A8" s="221" t="s">
        <v>73</v>
      </c>
      <c r="B8" s="221" t="s">
        <v>68</v>
      </c>
      <c r="C8" s="221" t="s">
        <v>146</v>
      </c>
      <c r="D8" s="221" t="s">
        <v>66</v>
      </c>
      <c r="E8" s="221" t="s">
        <v>85</v>
      </c>
      <c r="F8" s="221" t="s">
        <v>18</v>
      </c>
      <c r="G8" s="222" t="s">
        <v>24</v>
      </c>
      <c r="H8" s="327" t="s">
        <v>21</v>
      </c>
      <c r="I8" s="327" t="s">
        <v>22</v>
      </c>
      <c r="J8" s="327" t="s">
        <v>0</v>
      </c>
      <c r="K8" s="222" t="s">
        <v>149</v>
      </c>
      <c r="L8" s="222" t="s">
        <v>151</v>
      </c>
      <c r="M8" s="221" t="s">
        <v>152</v>
      </c>
      <c r="N8" s="221" t="s">
        <v>374</v>
      </c>
      <c r="O8" s="221" t="s">
        <v>375</v>
      </c>
      <c r="P8" s="221" t="s">
        <v>76</v>
      </c>
      <c r="Q8" s="222" t="s">
        <v>24</v>
      </c>
      <c r="R8" s="224" t="s">
        <v>25</v>
      </c>
      <c r="S8" s="224" t="s">
        <v>26</v>
      </c>
      <c r="T8" s="224" t="s">
        <v>27</v>
      </c>
      <c r="U8" s="225" t="s">
        <v>79</v>
      </c>
      <c r="V8" s="221" t="s">
        <v>88</v>
      </c>
      <c r="W8" s="222" t="s">
        <v>4</v>
      </c>
      <c r="X8" s="222" t="s">
        <v>3</v>
      </c>
      <c r="Y8" s="225" t="s">
        <v>81</v>
      </c>
      <c r="Z8" s="226" t="s">
        <v>84</v>
      </c>
      <c r="AA8" s="226" t="s">
        <v>1</v>
      </c>
      <c r="AB8" s="221" t="s">
        <v>34</v>
      </c>
      <c r="AC8" s="221" t="s">
        <v>35</v>
      </c>
      <c r="AD8" s="221" t="s">
        <v>155</v>
      </c>
      <c r="AE8" s="221" t="s">
        <v>40</v>
      </c>
      <c r="AF8" s="221" t="s">
        <v>28</v>
      </c>
      <c r="AG8" s="221" t="s">
        <v>48</v>
      </c>
      <c r="AH8" s="221" t="s">
        <v>1</v>
      </c>
      <c r="AI8" s="225" t="s">
        <v>86</v>
      </c>
      <c r="AJ8" s="225" t="s">
        <v>96</v>
      </c>
      <c r="AK8" s="225" t="s">
        <v>97</v>
      </c>
      <c r="AL8" s="225" t="s">
        <v>109</v>
      </c>
      <c r="AM8" s="225" t="s">
        <v>183</v>
      </c>
      <c r="AN8" s="225" t="s">
        <v>110</v>
      </c>
      <c r="AO8" s="225" t="s">
        <v>111</v>
      </c>
      <c r="AP8" s="226" t="s">
        <v>376</v>
      </c>
    </row>
    <row r="9" spans="1:46" s="155" customFormat="1" ht="12" customHeight="1">
      <c r="A9" s="136"/>
      <c r="B9" s="136"/>
      <c r="C9" s="136"/>
      <c r="D9" s="136"/>
      <c r="E9" s="136"/>
      <c r="F9" s="136"/>
      <c r="G9" s="137"/>
      <c r="H9" s="138"/>
      <c r="I9" s="138"/>
      <c r="J9" s="138"/>
      <c r="K9" s="139"/>
      <c r="L9" s="139"/>
      <c r="M9" s="140"/>
      <c r="N9" s="141"/>
      <c r="O9" s="141"/>
      <c r="P9" s="136"/>
      <c r="Q9" s="142" t="s">
        <v>29</v>
      </c>
      <c r="R9" s="143">
        <f>Assu!$C$3</f>
        <v>0.08</v>
      </c>
      <c r="S9" s="143">
        <f>Assu!$C$4</f>
        <v>1.4999999999999999E-2</v>
      </c>
      <c r="T9" s="143">
        <f>Assu!$C$5</f>
        <v>0.01</v>
      </c>
      <c r="U9" s="142" t="s">
        <v>30</v>
      </c>
      <c r="V9" s="144"/>
      <c r="W9" s="145">
        <v>4400000</v>
      </c>
      <c r="X9" s="145">
        <v>11000000</v>
      </c>
      <c r="Y9" s="146" t="s">
        <v>31</v>
      </c>
      <c r="Z9" s="147" t="s">
        <v>32</v>
      </c>
      <c r="AA9" s="147" t="s">
        <v>36</v>
      </c>
      <c r="AB9" s="148" t="s">
        <v>37</v>
      </c>
      <c r="AC9" s="148" t="s">
        <v>38</v>
      </c>
      <c r="AD9" s="149" t="s">
        <v>39</v>
      </c>
      <c r="AE9" s="151">
        <f>SUM(Assu!$B$3:$B$6)</f>
        <v>0.23499999999999999</v>
      </c>
      <c r="AF9" s="151">
        <f>SUM(R9:T9)+AE9</f>
        <v>0.33999999999999997</v>
      </c>
      <c r="AG9" s="151">
        <v>1</v>
      </c>
      <c r="AH9" s="151"/>
      <c r="AI9" s="152"/>
      <c r="AJ9" s="136"/>
      <c r="AK9" s="136"/>
      <c r="AL9" s="152"/>
      <c r="AM9" s="152"/>
      <c r="AN9" s="153"/>
      <c r="AO9" s="153"/>
      <c r="AP9" s="153"/>
      <c r="AQ9" s="154"/>
      <c r="AT9" s="154"/>
    </row>
    <row r="10" spans="1:46">
      <c r="A10" s="156">
        <v>1</v>
      </c>
      <c r="B10" s="157" t="s">
        <v>19</v>
      </c>
      <c r="C10" s="152" t="s">
        <v>148</v>
      </c>
      <c r="D10" s="152" t="s">
        <v>162</v>
      </c>
      <c r="E10" s="152">
        <v>40848</v>
      </c>
      <c r="F10" s="158" t="s">
        <v>64</v>
      </c>
      <c r="G10" s="238">
        <v>0</v>
      </c>
      <c r="H10" s="287">
        <v>24</v>
      </c>
      <c r="I10" s="287">
        <v>0</v>
      </c>
      <c r="J10" s="287">
        <f>H10+I10</f>
        <v>24</v>
      </c>
      <c r="K10" s="242">
        <f t="shared" ref="K10:K31" si="0">G10/H10*J10</f>
        <v>0</v>
      </c>
      <c r="L10" s="242">
        <v>50000000</v>
      </c>
      <c r="M10" s="162">
        <f>SUM(K10:L10)</f>
        <v>50000000</v>
      </c>
      <c r="N10" s="308"/>
      <c r="O10" s="50">
        <v>700000</v>
      </c>
      <c r="P10" s="50"/>
      <c r="Q10" s="164">
        <f>SUM(M10:P10)</f>
        <v>50700000</v>
      </c>
      <c r="R10" s="165">
        <f>(MIN(VALUE($G10),[1]Assu!$E$3))*R$9</f>
        <v>0</v>
      </c>
      <c r="S10" s="165">
        <f>(MIN(VALUE($G10),[1]Assu!$E$4))*S$9</f>
        <v>0</v>
      </c>
      <c r="T10" s="165">
        <f>(MIN(VALUE($G10),[1]Assu!$E$5))*T$9</f>
        <v>0</v>
      </c>
      <c r="U10" s="159">
        <f>SUM(R10:T10)</f>
        <v>0</v>
      </c>
      <c r="V10" s="159">
        <v>0</v>
      </c>
      <c r="W10" s="50">
        <f>V10*$W$9</f>
        <v>0</v>
      </c>
      <c r="X10" s="50">
        <f t="shared" ref="X10:X31" si="1">IF(VALUE(Q10)=0,0,$X$9)</f>
        <v>11000000</v>
      </c>
      <c r="Y10" s="159">
        <f>SUM(W10:X10)</f>
        <v>11000000</v>
      </c>
      <c r="Z10" s="50">
        <f t="shared" ref="Z10:Z31" si="2">IF((Q10-U10-Y10)&lt;0,0,(Q10-U10-Y10))</f>
        <v>39700000</v>
      </c>
      <c r="AA10" s="290">
        <f>IF(AND(Z10&lt;10000000,Z10&gt;5000000),Z10*10%-250000,IF(AND(Z10&lt;18000000,Z10&gt;10000000),Z10*15%-750000,IF(AND(Z10&lt;32000000,Z10&gt;18000000),Z10*20%-1650000,IF(AND(Z10&lt;52000000,Z10&gt;32000000),Z10*25%-3250000,IF(AND(Z10&lt;80000000,Z10&gt;52000000),Z10*30%-5850000,IF(Z10&gt;80000000,Z10*35%-9850000,Z10*5%))))))</f>
        <v>6675000</v>
      </c>
      <c r="AB10" s="159"/>
      <c r="AC10" s="166"/>
      <c r="AD10" s="170">
        <f>Q10-U10-AB10+AC10</f>
        <v>50700000</v>
      </c>
      <c r="AE10" s="165">
        <f>(MIN(VALUE($G10),[1]Assu!$E$3))*AE$9</f>
        <v>0</v>
      </c>
      <c r="AF10" s="165">
        <f>(MIN(VALUE($G10),[1]Assu!$E$3))*AF$9</f>
        <v>0</v>
      </c>
      <c r="AG10" s="165">
        <f>Q10*$AG$9/12</f>
        <v>4225000</v>
      </c>
      <c r="AH10" s="165">
        <f>AA10</f>
        <v>6675000</v>
      </c>
      <c r="AI10" s="48" t="s">
        <v>418</v>
      </c>
      <c r="AJ10" s="48"/>
      <c r="AK10" s="48" t="s">
        <v>426</v>
      </c>
      <c r="AL10" s="153"/>
      <c r="AM10" s="48" t="s">
        <v>301</v>
      </c>
      <c r="AN10" s="123" t="s">
        <v>219</v>
      </c>
      <c r="AO10" s="168" t="s">
        <v>205</v>
      </c>
      <c r="AP10" s="168" t="s">
        <v>161</v>
      </c>
    </row>
    <row r="11" spans="1:46">
      <c r="A11" s="156">
        <v>2</v>
      </c>
      <c r="B11" s="157" t="s">
        <v>89</v>
      </c>
      <c r="C11" s="152" t="s">
        <v>148</v>
      </c>
      <c r="D11" s="152" t="s">
        <v>150</v>
      </c>
      <c r="E11" s="152">
        <v>40848</v>
      </c>
      <c r="F11" s="158" t="s">
        <v>90</v>
      </c>
      <c r="G11" s="322">
        <v>24000000</v>
      </c>
      <c r="H11" s="287">
        <v>24</v>
      </c>
      <c r="I11" s="287">
        <v>0</v>
      </c>
      <c r="J11" s="287">
        <f t="shared" ref="J11:J31" si="3">H11+I11</f>
        <v>24</v>
      </c>
      <c r="K11" s="242">
        <f t="shared" si="0"/>
        <v>24000000</v>
      </c>
      <c r="L11" s="50">
        <v>40000000</v>
      </c>
      <c r="M11" s="162">
        <f t="shared" ref="M11:M31" si="4">SUM(K11:L11)</f>
        <v>64000000</v>
      </c>
      <c r="N11" s="51"/>
      <c r="O11" s="50">
        <v>700000</v>
      </c>
      <c r="P11" s="50"/>
      <c r="Q11" s="164">
        <f t="shared" ref="Q11:Q32" si="5">SUM(M11:P11)</f>
        <v>64700000</v>
      </c>
      <c r="R11" s="165">
        <f>(MIN(VALUE($G11),[1]Assu!$E$3))*R$9</f>
        <v>1920000</v>
      </c>
      <c r="S11" s="165">
        <f>(MIN(VALUE($G11),[1]Assu!$E$4))*S$9</f>
        <v>360000</v>
      </c>
      <c r="T11" s="165">
        <f>(MIN(VALUE($G11),[1]Assu!$E$5))*T$9</f>
        <v>240000</v>
      </c>
      <c r="U11" s="159">
        <f t="shared" ref="U11:U31" si="6">SUM(R11:T11)</f>
        <v>2520000</v>
      </c>
      <c r="V11" s="159">
        <v>1</v>
      </c>
      <c r="W11" s="50">
        <f t="shared" ref="W11:W31" si="7">V11*$W$9</f>
        <v>4400000</v>
      </c>
      <c r="X11" s="50">
        <f t="shared" si="1"/>
        <v>11000000</v>
      </c>
      <c r="Y11" s="159">
        <f t="shared" ref="Y11:Y32" si="8">SUM(W11:X11)</f>
        <v>15400000</v>
      </c>
      <c r="Z11" s="50">
        <f t="shared" si="2"/>
        <v>46780000</v>
      </c>
      <c r="AA11" s="290">
        <f t="shared" ref="AA11:AA32" si="9">IF(AND(Z11&lt;10000000,Z11&gt;5000000),Z11*10%-250000,IF(AND(Z11&lt;18000000,Z11&gt;10000000),Z11*15%-750000,IF(AND(Z11&lt;32000000,Z11&gt;18000000),Z11*20%-1650000,IF(AND(Z11&lt;52000000,Z11&gt;32000000),Z11*25%-3250000,IF(AND(Z11&lt;80000000,Z11&gt;52000000),Z11*30%-5850000,IF(Z11&gt;80000000,Z11*35%-9850000,Z11*5%))))))</f>
        <v>8445000</v>
      </c>
      <c r="AB11" s="159"/>
      <c r="AC11" s="166"/>
      <c r="AD11" s="164">
        <f>Q11-U11-AA11-AB11-AC11</f>
        <v>53735000</v>
      </c>
      <c r="AE11" s="165">
        <f>(MIN(VALUE($G11),[1]Assu!$E$3))*AE$9</f>
        <v>5640000</v>
      </c>
      <c r="AF11" s="165">
        <f>(MIN(VALUE($G11),[1]Assu!$E$3))*AF$9</f>
        <v>8159999.9999999991</v>
      </c>
      <c r="AG11" s="165">
        <f t="shared" ref="AG11:AG31" si="10">Q11*$AG$9/12</f>
        <v>5391666.666666667</v>
      </c>
      <c r="AH11" s="165">
        <f t="shared" ref="AH11:AH31" si="11">AA11</f>
        <v>8445000</v>
      </c>
      <c r="AI11" s="48" t="s">
        <v>418</v>
      </c>
      <c r="AJ11" s="48"/>
      <c r="AK11" s="48" t="s">
        <v>426</v>
      </c>
      <c r="AL11" s="159"/>
      <c r="AM11" s="48" t="s">
        <v>301</v>
      </c>
      <c r="AN11" s="123" t="s">
        <v>218</v>
      </c>
      <c r="AO11" s="168" t="s">
        <v>140</v>
      </c>
      <c r="AP11" s="168" t="s">
        <v>160</v>
      </c>
      <c r="AT11" s="169"/>
    </row>
    <row r="12" spans="1:46">
      <c r="A12" s="156">
        <v>3</v>
      </c>
      <c r="B12" s="157" t="s">
        <v>49</v>
      </c>
      <c r="C12" s="152" t="s">
        <v>148</v>
      </c>
      <c r="D12" s="152" t="s">
        <v>163</v>
      </c>
      <c r="E12" s="152">
        <v>41334</v>
      </c>
      <c r="F12" s="158" t="s">
        <v>65</v>
      </c>
      <c r="G12" s="238">
        <v>0</v>
      </c>
      <c r="H12" s="287">
        <v>24</v>
      </c>
      <c r="I12" s="287">
        <v>0</v>
      </c>
      <c r="J12" s="287">
        <f t="shared" si="3"/>
        <v>24</v>
      </c>
      <c r="K12" s="242">
        <f t="shared" si="0"/>
        <v>0</v>
      </c>
      <c r="L12" s="50">
        <f>16800000</f>
        <v>16800000</v>
      </c>
      <c r="M12" s="162">
        <f t="shared" si="4"/>
        <v>16800000</v>
      </c>
      <c r="N12" s="51"/>
      <c r="O12" s="50">
        <v>700000</v>
      </c>
      <c r="P12" s="50"/>
      <c r="Q12" s="164">
        <f t="shared" si="5"/>
        <v>17500000</v>
      </c>
      <c r="R12" s="165">
        <f>(MIN(VALUE($G12),[1]Assu!$E$3))*R$9</f>
        <v>0</v>
      </c>
      <c r="S12" s="165">
        <f>(MIN(VALUE($G12),[1]Assu!$E$4))*S$9</f>
        <v>0</v>
      </c>
      <c r="T12" s="165">
        <f>(MIN(VALUE($G12),[1]Assu!$E$5))*T$9</f>
        <v>0</v>
      </c>
      <c r="U12" s="159">
        <f t="shared" si="6"/>
        <v>0</v>
      </c>
      <c r="V12" s="159">
        <v>0</v>
      </c>
      <c r="W12" s="50">
        <f t="shared" si="7"/>
        <v>0</v>
      </c>
      <c r="X12" s="50">
        <f t="shared" si="1"/>
        <v>11000000</v>
      </c>
      <c r="Y12" s="159">
        <f t="shared" si="8"/>
        <v>11000000</v>
      </c>
      <c r="Z12" s="50">
        <f t="shared" si="2"/>
        <v>6500000</v>
      </c>
      <c r="AA12" s="290">
        <f t="shared" si="9"/>
        <v>400000</v>
      </c>
      <c r="AB12" s="159"/>
      <c r="AC12" s="166"/>
      <c r="AD12" s="164">
        <f t="shared" ref="AD12:AD31" si="12">Q12-U12-AA12-AB12-AC12</f>
        <v>17100000</v>
      </c>
      <c r="AE12" s="165">
        <f>(MIN(VALUE($G12),[1]Assu!$E$3))*AE$9</f>
        <v>0</v>
      </c>
      <c r="AF12" s="165">
        <f>(MIN(VALUE($G12),[1]Assu!$E$3))*AF$9</f>
        <v>0</v>
      </c>
      <c r="AG12" s="165">
        <f t="shared" si="10"/>
        <v>1458333.3333333333</v>
      </c>
      <c r="AH12" s="165">
        <f t="shared" si="11"/>
        <v>400000</v>
      </c>
      <c r="AI12" s="48" t="s">
        <v>418</v>
      </c>
      <c r="AJ12" s="48"/>
      <c r="AK12" s="48" t="s">
        <v>426</v>
      </c>
      <c r="AL12" s="153"/>
      <c r="AM12" s="48" t="s">
        <v>301</v>
      </c>
      <c r="AN12" s="123" t="s">
        <v>220</v>
      </c>
      <c r="AO12" s="168" t="s">
        <v>140</v>
      </c>
      <c r="AP12" s="168" t="s">
        <v>161</v>
      </c>
      <c r="AT12" s="169"/>
    </row>
    <row r="13" spans="1:46">
      <c r="A13" s="156">
        <v>4</v>
      </c>
      <c r="B13" s="157" t="s">
        <v>112</v>
      </c>
      <c r="C13" s="152" t="s">
        <v>148</v>
      </c>
      <c r="D13" s="152" t="s">
        <v>163</v>
      </c>
      <c r="E13" s="124">
        <v>42177</v>
      </c>
      <c r="F13" s="158" t="s">
        <v>113</v>
      </c>
      <c r="G13" s="322">
        <v>12000000</v>
      </c>
      <c r="H13" s="287">
        <v>24</v>
      </c>
      <c r="I13" s="287">
        <v>0</v>
      </c>
      <c r="J13" s="287">
        <f t="shared" si="3"/>
        <v>24</v>
      </c>
      <c r="K13" s="242">
        <f t="shared" si="0"/>
        <v>12000000</v>
      </c>
      <c r="L13" s="50"/>
      <c r="M13" s="162">
        <f t="shared" si="4"/>
        <v>12000000</v>
      </c>
      <c r="N13" s="51"/>
      <c r="O13" s="50">
        <v>700000</v>
      </c>
      <c r="P13" s="50"/>
      <c r="Q13" s="164">
        <f t="shared" si="5"/>
        <v>12700000</v>
      </c>
      <c r="R13" s="165">
        <f>(MIN(VALUE($G13),[1]Assu!$E$3))*R$9</f>
        <v>960000</v>
      </c>
      <c r="S13" s="165">
        <f>(MIN(VALUE($G13),[1]Assu!$E$4))*S$9</f>
        <v>180000</v>
      </c>
      <c r="T13" s="165">
        <f>(MIN(VALUE($G13),[1]Assu!$E$5))*T$9</f>
        <v>120000</v>
      </c>
      <c r="U13" s="159">
        <f t="shared" si="6"/>
        <v>1260000</v>
      </c>
      <c r="V13" s="159">
        <v>0</v>
      </c>
      <c r="W13" s="50">
        <f t="shared" si="7"/>
        <v>0</v>
      </c>
      <c r="X13" s="50">
        <f t="shared" si="1"/>
        <v>11000000</v>
      </c>
      <c r="Y13" s="159">
        <f t="shared" si="8"/>
        <v>11000000</v>
      </c>
      <c r="Z13" s="50">
        <f t="shared" si="2"/>
        <v>440000</v>
      </c>
      <c r="AA13" s="290">
        <f t="shared" si="9"/>
        <v>22000</v>
      </c>
      <c r="AB13" s="235"/>
      <c r="AC13" s="166"/>
      <c r="AD13" s="164">
        <f t="shared" si="12"/>
        <v>11418000</v>
      </c>
      <c r="AE13" s="165">
        <f>(MIN(VALUE($G13),[1]Assu!$E$3))*AE$9</f>
        <v>2820000</v>
      </c>
      <c r="AF13" s="165">
        <f>(MIN(VALUE($G13),[1]Assu!$E$3))*AF$9</f>
        <v>4079999.9999999995</v>
      </c>
      <c r="AG13" s="165">
        <f t="shared" si="10"/>
        <v>1058333.3333333333</v>
      </c>
      <c r="AH13" s="165">
        <f t="shared" si="11"/>
        <v>22000</v>
      </c>
      <c r="AI13" s="48"/>
      <c r="AJ13" s="48"/>
      <c r="AK13" s="48" t="s">
        <v>426</v>
      </c>
      <c r="AL13" s="153"/>
      <c r="AM13" s="48" t="s">
        <v>301</v>
      </c>
      <c r="AN13" s="123" t="s">
        <v>221</v>
      </c>
      <c r="AO13" s="168" t="s">
        <v>141</v>
      </c>
      <c r="AP13" s="168" t="s">
        <v>160</v>
      </c>
      <c r="AT13" s="169"/>
    </row>
    <row r="14" spans="1:46">
      <c r="A14" s="156">
        <v>5</v>
      </c>
      <c r="B14" s="157" t="s">
        <v>114</v>
      </c>
      <c r="C14" s="152" t="s">
        <v>148</v>
      </c>
      <c r="D14" s="227" t="s">
        <v>169</v>
      </c>
      <c r="E14" s="124">
        <v>42492</v>
      </c>
      <c r="F14" s="247" t="s">
        <v>115</v>
      </c>
      <c r="G14" s="322">
        <v>11000000</v>
      </c>
      <c r="H14" s="287">
        <v>24</v>
      </c>
      <c r="I14" s="287">
        <v>0</v>
      </c>
      <c r="J14" s="287">
        <f t="shared" si="3"/>
        <v>24</v>
      </c>
      <c r="K14" s="242">
        <f t="shared" si="0"/>
        <v>11000000</v>
      </c>
      <c r="L14" s="50"/>
      <c r="M14" s="162">
        <f t="shared" si="4"/>
        <v>11000000</v>
      </c>
      <c r="N14" s="248">
        <v>10000000</v>
      </c>
      <c r="O14" s="50">
        <v>700000</v>
      </c>
      <c r="P14" s="50"/>
      <c r="Q14" s="164">
        <f t="shared" si="5"/>
        <v>21700000</v>
      </c>
      <c r="R14" s="165">
        <f>(MIN(VALUE($G14),[1]Assu!$E$3))*R$9</f>
        <v>880000</v>
      </c>
      <c r="S14" s="165">
        <f>(MIN(VALUE($G14),[1]Assu!$E$4))*S$9</f>
        <v>165000</v>
      </c>
      <c r="T14" s="165">
        <f>(MIN(VALUE($G14),[1]Assu!$E$5))*T$9</f>
        <v>110000</v>
      </c>
      <c r="U14" s="159">
        <f t="shared" si="6"/>
        <v>1155000</v>
      </c>
      <c r="V14" s="159">
        <v>0</v>
      </c>
      <c r="W14" s="50">
        <f t="shared" si="7"/>
        <v>0</v>
      </c>
      <c r="X14" s="50">
        <f t="shared" si="1"/>
        <v>11000000</v>
      </c>
      <c r="Y14" s="159">
        <f t="shared" si="8"/>
        <v>11000000</v>
      </c>
      <c r="Z14" s="50">
        <f t="shared" si="2"/>
        <v>9545000</v>
      </c>
      <c r="AA14" s="290">
        <f t="shared" si="9"/>
        <v>704500</v>
      </c>
      <c r="AB14" s="159"/>
      <c r="AC14" s="166"/>
      <c r="AD14" s="164">
        <f t="shared" si="12"/>
        <v>19840500</v>
      </c>
      <c r="AE14" s="165">
        <f>(MIN(VALUE($G14),[1]Assu!$E$3))*AE$9</f>
        <v>2585000</v>
      </c>
      <c r="AF14" s="165">
        <f>(MIN(VALUE($G14),[1]Assu!$E$3))*AF$9</f>
        <v>3739999.9999999995</v>
      </c>
      <c r="AG14" s="165">
        <f t="shared" si="10"/>
        <v>1808333.3333333333</v>
      </c>
      <c r="AH14" s="165">
        <f t="shared" si="11"/>
        <v>704500</v>
      </c>
      <c r="AI14" s="48"/>
      <c r="AJ14" s="48" t="s">
        <v>430</v>
      </c>
      <c r="AK14" s="48" t="s">
        <v>426</v>
      </c>
      <c r="AL14" s="48"/>
      <c r="AM14" s="48" t="s">
        <v>301</v>
      </c>
      <c r="AN14" s="123" t="s">
        <v>223</v>
      </c>
      <c r="AO14" s="168" t="s">
        <v>201</v>
      </c>
      <c r="AP14" s="168" t="s">
        <v>160</v>
      </c>
      <c r="AT14" s="169"/>
    </row>
    <row r="15" spans="1:46">
      <c r="A15" s="156">
        <v>6</v>
      </c>
      <c r="B15" s="157" t="s">
        <v>122</v>
      </c>
      <c r="C15" s="244" t="s">
        <v>168</v>
      </c>
      <c r="D15" s="152" t="s">
        <v>170</v>
      </c>
      <c r="E15" s="152">
        <v>42114</v>
      </c>
      <c r="F15" s="158" t="s">
        <v>123</v>
      </c>
      <c r="G15" s="285">
        <v>0</v>
      </c>
      <c r="H15" s="287">
        <v>24</v>
      </c>
      <c r="I15" s="287">
        <v>0</v>
      </c>
      <c r="J15" s="287">
        <f t="shared" si="3"/>
        <v>24</v>
      </c>
      <c r="K15" s="242">
        <f t="shared" si="0"/>
        <v>0</v>
      </c>
      <c r="L15" s="50"/>
      <c r="M15" s="162">
        <f t="shared" si="4"/>
        <v>0</v>
      </c>
      <c r="N15" s="248">
        <v>10000000</v>
      </c>
      <c r="O15" s="50"/>
      <c r="P15" s="50"/>
      <c r="Q15" s="164">
        <f t="shared" si="5"/>
        <v>10000000</v>
      </c>
      <c r="R15" s="165">
        <f>(MIN(VALUE($G15),[1]Assu!$E$3))*R$9</f>
        <v>0</v>
      </c>
      <c r="S15" s="165">
        <f>(MIN(VALUE($G15),[1]Assu!$E$4))*S$9</f>
        <v>0</v>
      </c>
      <c r="T15" s="165">
        <f>(MIN(VALUE($G15),[1]Assu!$E$5))*T$9</f>
        <v>0</v>
      </c>
      <c r="U15" s="159">
        <f t="shared" si="6"/>
        <v>0</v>
      </c>
      <c r="V15" s="159">
        <v>0</v>
      </c>
      <c r="W15" s="50">
        <f t="shared" si="7"/>
        <v>0</v>
      </c>
      <c r="X15" s="50">
        <f t="shared" si="1"/>
        <v>11000000</v>
      </c>
      <c r="Y15" s="159">
        <f t="shared" si="8"/>
        <v>11000000</v>
      </c>
      <c r="Z15" s="50">
        <f t="shared" si="2"/>
        <v>0</v>
      </c>
      <c r="AA15" s="290">
        <f t="shared" si="9"/>
        <v>0</v>
      </c>
      <c r="AB15" s="159"/>
      <c r="AC15" s="166"/>
      <c r="AD15" s="164">
        <f t="shared" si="12"/>
        <v>10000000</v>
      </c>
      <c r="AE15" s="165">
        <f>(MIN(VALUE($G15),[1]Assu!$E$3))*AE$9</f>
        <v>0</v>
      </c>
      <c r="AF15" s="165">
        <f>(MIN(VALUE($G15),[1]Assu!$E$3))*AF$9</f>
        <v>0</v>
      </c>
      <c r="AG15" s="165">
        <v>0</v>
      </c>
      <c r="AH15" s="165">
        <f t="shared" si="11"/>
        <v>0</v>
      </c>
      <c r="AI15" s="48"/>
      <c r="AJ15" s="48" t="s">
        <v>430</v>
      </c>
      <c r="AK15" s="48"/>
      <c r="AL15" s="48"/>
      <c r="AM15" s="48" t="s">
        <v>301</v>
      </c>
      <c r="AN15" s="123" t="s">
        <v>229</v>
      </c>
      <c r="AO15" s="168" t="s">
        <v>141</v>
      </c>
      <c r="AP15" s="168" t="s">
        <v>160</v>
      </c>
    </row>
    <row r="16" spans="1:46">
      <c r="A16" s="156">
        <v>7</v>
      </c>
      <c r="B16" s="243" t="s">
        <v>280</v>
      </c>
      <c r="C16" s="244" t="s">
        <v>168</v>
      </c>
      <c r="D16" s="152" t="s">
        <v>170</v>
      </c>
      <c r="E16" s="152">
        <v>43619</v>
      </c>
      <c r="F16" s="158" t="s">
        <v>281</v>
      </c>
      <c r="G16" s="285">
        <v>0</v>
      </c>
      <c r="H16" s="287">
        <v>24</v>
      </c>
      <c r="I16" s="287">
        <v>0</v>
      </c>
      <c r="J16" s="287">
        <f t="shared" si="3"/>
        <v>24</v>
      </c>
      <c r="K16" s="242">
        <f t="shared" si="0"/>
        <v>0</v>
      </c>
      <c r="L16" s="50"/>
      <c r="M16" s="162">
        <f t="shared" si="4"/>
        <v>0</v>
      </c>
      <c r="N16" s="248">
        <v>10000000</v>
      </c>
      <c r="O16" s="50"/>
      <c r="P16" s="50"/>
      <c r="Q16" s="164">
        <f t="shared" si="5"/>
        <v>10000000</v>
      </c>
      <c r="R16" s="165">
        <f>(MIN(VALUE($G16),[1]Assu!$E$3))*R$9</f>
        <v>0</v>
      </c>
      <c r="S16" s="165">
        <f>(MIN(VALUE($G16),[1]Assu!$E$4))*S$9</f>
        <v>0</v>
      </c>
      <c r="T16" s="165">
        <f>(MIN(VALUE($G16),[1]Assu!$E$5))*T$9</f>
        <v>0</v>
      </c>
      <c r="U16" s="159">
        <f t="shared" si="6"/>
        <v>0</v>
      </c>
      <c r="V16" s="159">
        <v>0</v>
      </c>
      <c r="W16" s="50">
        <f t="shared" si="7"/>
        <v>0</v>
      </c>
      <c r="X16" s="50">
        <f t="shared" si="1"/>
        <v>11000000</v>
      </c>
      <c r="Y16" s="159">
        <f t="shared" si="8"/>
        <v>11000000</v>
      </c>
      <c r="Z16" s="50">
        <f t="shared" si="2"/>
        <v>0</v>
      </c>
      <c r="AA16" s="290">
        <f t="shared" si="9"/>
        <v>0</v>
      </c>
      <c r="AB16" s="159"/>
      <c r="AC16" s="166"/>
      <c r="AD16" s="164">
        <f t="shared" si="12"/>
        <v>10000000</v>
      </c>
      <c r="AE16" s="165">
        <f>(MIN(VALUE($G16),[1]Assu!$E$3))*AE$9</f>
        <v>0</v>
      </c>
      <c r="AF16" s="165">
        <f>(MIN(VALUE($G16),[1]Assu!$E$3))*AF$9</f>
        <v>0</v>
      </c>
      <c r="AG16" s="165">
        <v>0</v>
      </c>
      <c r="AH16" s="165">
        <f t="shared" si="11"/>
        <v>0</v>
      </c>
      <c r="AI16" s="48"/>
      <c r="AJ16" s="48" t="s">
        <v>430</v>
      </c>
      <c r="AK16" s="48"/>
      <c r="AL16" s="48"/>
      <c r="AM16" s="48" t="s">
        <v>301</v>
      </c>
      <c r="AN16" s="123" t="s">
        <v>329</v>
      </c>
      <c r="AO16" s="168" t="s">
        <v>141</v>
      </c>
      <c r="AP16" s="168" t="s">
        <v>160</v>
      </c>
    </row>
    <row r="17" spans="1:46">
      <c r="A17" s="156">
        <v>8</v>
      </c>
      <c r="B17" s="157" t="s">
        <v>120</v>
      </c>
      <c r="C17" s="244" t="s">
        <v>168</v>
      </c>
      <c r="D17" s="227" t="s">
        <v>194</v>
      </c>
      <c r="E17" s="124">
        <v>40848</v>
      </c>
      <c r="F17" s="247" t="s">
        <v>121</v>
      </c>
      <c r="G17" s="285">
        <v>20000000</v>
      </c>
      <c r="H17" s="287">
        <v>24</v>
      </c>
      <c r="I17" s="287">
        <v>0</v>
      </c>
      <c r="J17" s="287">
        <f t="shared" si="3"/>
        <v>24</v>
      </c>
      <c r="K17" s="242">
        <f t="shared" si="0"/>
        <v>20000000</v>
      </c>
      <c r="L17" s="50">
        <v>20753433</v>
      </c>
      <c r="M17" s="162">
        <f t="shared" si="4"/>
        <v>40753433</v>
      </c>
      <c r="N17" s="248">
        <v>24994484</v>
      </c>
      <c r="O17" s="50">
        <v>700000</v>
      </c>
      <c r="P17" s="172">
        <v>500000</v>
      </c>
      <c r="Q17" s="164">
        <f t="shared" si="5"/>
        <v>66947917</v>
      </c>
      <c r="R17" s="165">
        <f>(MIN(VALUE($G17),[1]Assu!$E$3))*R$9</f>
        <v>1600000</v>
      </c>
      <c r="S17" s="165">
        <f>(MIN(VALUE($G17),[1]Assu!$E$4))*S$9</f>
        <v>300000</v>
      </c>
      <c r="T17" s="165">
        <f>(MIN(VALUE($G17),[1]Assu!$E$5))*T$9</f>
        <v>200000</v>
      </c>
      <c r="U17" s="159">
        <f t="shared" si="6"/>
        <v>2100000</v>
      </c>
      <c r="V17" s="159">
        <v>1</v>
      </c>
      <c r="W17" s="50">
        <f t="shared" si="7"/>
        <v>4400000</v>
      </c>
      <c r="X17" s="50">
        <f t="shared" si="1"/>
        <v>11000000</v>
      </c>
      <c r="Y17" s="159">
        <f t="shared" si="8"/>
        <v>15400000</v>
      </c>
      <c r="Z17" s="50">
        <f t="shared" si="2"/>
        <v>49447917</v>
      </c>
      <c r="AA17" s="290">
        <f t="shared" si="9"/>
        <v>9111979.25</v>
      </c>
      <c r="AB17" s="159"/>
      <c r="AC17" s="166"/>
      <c r="AD17" s="164">
        <f t="shared" si="12"/>
        <v>55735937.75</v>
      </c>
      <c r="AE17" s="165">
        <f>(MIN(VALUE($G17),[1]Assu!$E$3))*AE$9</f>
        <v>4700000</v>
      </c>
      <c r="AF17" s="165">
        <f>(MIN(VALUE($G17),[1]Assu!$E$3))*AF$9</f>
        <v>6799999.9999999991</v>
      </c>
      <c r="AG17" s="165">
        <f t="shared" si="10"/>
        <v>5578993.083333333</v>
      </c>
      <c r="AH17" s="165">
        <f t="shared" si="11"/>
        <v>9111979.25</v>
      </c>
      <c r="AI17" s="48" t="s">
        <v>431</v>
      </c>
      <c r="AJ17" s="48" t="s">
        <v>430</v>
      </c>
      <c r="AK17" s="48" t="s">
        <v>426</v>
      </c>
      <c r="AL17" s="48" t="s">
        <v>419</v>
      </c>
      <c r="AM17" s="48" t="s">
        <v>301</v>
      </c>
      <c r="AN17" s="123" t="s">
        <v>225</v>
      </c>
      <c r="AO17" s="168" t="s">
        <v>144</v>
      </c>
      <c r="AP17" s="168" t="s">
        <v>160</v>
      </c>
    </row>
    <row r="18" spans="1:46">
      <c r="A18" s="156">
        <v>9</v>
      </c>
      <c r="B18" s="157" t="s">
        <v>124</v>
      </c>
      <c r="C18" s="244" t="s">
        <v>168</v>
      </c>
      <c r="D18" s="227" t="s">
        <v>194</v>
      </c>
      <c r="E18" s="124">
        <v>41855</v>
      </c>
      <c r="F18" s="247" t="s">
        <v>125</v>
      </c>
      <c r="G18" s="285">
        <v>0</v>
      </c>
      <c r="H18" s="287">
        <v>24</v>
      </c>
      <c r="I18" s="287">
        <v>0</v>
      </c>
      <c r="J18" s="287">
        <f t="shared" si="3"/>
        <v>24</v>
      </c>
      <c r="K18" s="242">
        <f t="shared" si="0"/>
        <v>0</v>
      </c>
      <c r="L18" s="50">
        <v>46145564</v>
      </c>
      <c r="M18" s="162">
        <f t="shared" si="4"/>
        <v>46145564</v>
      </c>
      <c r="N18" s="248">
        <v>43463661</v>
      </c>
      <c r="O18" s="50"/>
      <c r="P18" s="172"/>
      <c r="Q18" s="164">
        <f t="shared" si="5"/>
        <v>89609225</v>
      </c>
      <c r="R18" s="165">
        <f>(MIN(VALUE($G18),[1]Assu!$E$3))*R$9</f>
        <v>0</v>
      </c>
      <c r="S18" s="165">
        <f>(MIN(VALUE($G18),[1]Assu!$E$4))*S$9</f>
        <v>0</v>
      </c>
      <c r="T18" s="165">
        <f>(MIN(VALUE($G18),[1]Assu!$E$5))*T$9</f>
        <v>0</v>
      </c>
      <c r="U18" s="159">
        <f t="shared" si="6"/>
        <v>0</v>
      </c>
      <c r="V18" s="159">
        <v>0</v>
      </c>
      <c r="W18" s="50">
        <f t="shared" si="7"/>
        <v>0</v>
      </c>
      <c r="X18" s="50">
        <f t="shared" si="1"/>
        <v>11000000</v>
      </c>
      <c r="Y18" s="159">
        <f t="shared" si="8"/>
        <v>11000000</v>
      </c>
      <c r="Z18" s="50">
        <f t="shared" si="2"/>
        <v>78609225</v>
      </c>
      <c r="AA18" s="290">
        <f t="shared" si="9"/>
        <v>17732767.5</v>
      </c>
      <c r="AB18" s="159"/>
      <c r="AC18" s="166"/>
      <c r="AD18" s="164">
        <f t="shared" si="12"/>
        <v>71876457.5</v>
      </c>
      <c r="AE18" s="165">
        <f>(MIN(VALUE($G18),[1]Assu!$E$3))*AE$9</f>
        <v>0</v>
      </c>
      <c r="AF18" s="165">
        <f>(MIN(VALUE($G18),[1]Assu!$E$3))*AF$9</f>
        <v>0</v>
      </c>
      <c r="AG18" s="165">
        <v>0</v>
      </c>
      <c r="AH18" s="165">
        <f t="shared" si="11"/>
        <v>17732767.5</v>
      </c>
      <c r="AI18" s="48" t="s">
        <v>431</v>
      </c>
      <c r="AJ18" s="48" t="s">
        <v>430</v>
      </c>
      <c r="AK18" s="48"/>
      <c r="AL18" s="48"/>
      <c r="AM18" s="48" t="s">
        <v>301</v>
      </c>
      <c r="AN18" s="123" t="s">
        <v>226</v>
      </c>
      <c r="AO18" s="168" t="s">
        <v>141</v>
      </c>
      <c r="AP18" s="168" t="s">
        <v>160</v>
      </c>
    </row>
    <row r="19" spans="1:46">
      <c r="A19" s="156">
        <v>10</v>
      </c>
      <c r="B19" s="173" t="s">
        <v>116</v>
      </c>
      <c r="C19" s="244" t="s">
        <v>168</v>
      </c>
      <c r="D19" s="227" t="s">
        <v>194</v>
      </c>
      <c r="E19" s="124">
        <v>42736</v>
      </c>
      <c r="F19" s="158" t="s">
        <v>117</v>
      </c>
      <c r="G19" s="285">
        <v>0</v>
      </c>
      <c r="H19" s="287">
        <v>24</v>
      </c>
      <c r="I19" s="287">
        <v>0</v>
      </c>
      <c r="J19" s="287">
        <f t="shared" si="3"/>
        <v>24</v>
      </c>
      <c r="K19" s="242">
        <f t="shared" si="0"/>
        <v>0</v>
      </c>
      <c r="L19" s="50"/>
      <c r="M19" s="162">
        <f t="shared" si="4"/>
        <v>0</v>
      </c>
      <c r="N19" s="248">
        <v>5536770</v>
      </c>
      <c r="O19" s="50"/>
      <c r="P19" s="159"/>
      <c r="Q19" s="164">
        <f t="shared" si="5"/>
        <v>5536770</v>
      </c>
      <c r="R19" s="165">
        <f>(MIN(VALUE($G19),[1]Assu!$E$3))*R$9</f>
        <v>0</v>
      </c>
      <c r="S19" s="165">
        <f>(MIN(VALUE($G19),[1]Assu!$E$4))*S$9</f>
        <v>0</v>
      </c>
      <c r="T19" s="165">
        <f>(MIN(VALUE($G19),[1]Assu!$E$5))*T$9</f>
        <v>0</v>
      </c>
      <c r="U19" s="159">
        <f t="shared" si="6"/>
        <v>0</v>
      </c>
      <c r="V19" s="159">
        <v>0</v>
      </c>
      <c r="W19" s="50">
        <f t="shared" si="7"/>
        <v>0</v>
      </c>
      <c r="X19" s="50">
        <f t="shared" si="1"/>
        <v>11000000</v>
      </c>
      <c r="Y19" s="159">
        <f t="shared" si="8"/>
        <v>11000000</v>
      </c>
      <c r="Z19" s="50">
        <f t="shared" si="2"/>
        <v>0</v>
      </c>
      <c r="AA19" s="290">
        <f t="shared" si="9"/>
        <v>0</v>
      </c>
      <c r="AB19" s="159"/>
      <c r="AC19" s="166"/>
      <c r="AD19" s="164">
        <f t="shared" si="12"/>
        <v>5536770</v>
      </c>
      <c r="AE19" s="165">
        <f>(MIN(VALUE($G19),[1]Assu!$E$3))*AE$9</f>
        <v>0</v>
      </c>
      <c r="AF19" s="165">
        <f>(MIN(VALUE($G19),[1]Assu!$E$3))*AF$9</f>
        <v>0</v>
      </c>
      <c r="AG19" s="165">
        <v>0</v>
      </c>
      <c r="AH19" s="165">
        <f t="shared" si="11"/>
        <v>0</v>
      </c>
      <c r="AI19" s="48"/>
      <c r="AJ19" s="48" t="s">
        <v>430</v>
      </c>
      <c r="AK19" s="48"/>
      <c r="AL19" s="48"/>
      <c r="AM19" s="48" t="s">
        <v>301</v>
      </c>
      <c r="AN19" s="123" t="s">
        <v>230</v>
      </c>
      <c r="AO19" s="168" t="s">
        <v>143</v>
      </c>
      <c r="AP19" s="168" t="s">
        <v>160</v>
      </c>
      <c r="AT19" s="169"/>
    </row>
    <row r="20" spans="1:46">
      <c r="A20" s="156">
        <v>11</v>
      </c>
      <c r="B20" s="243" t="s">
        <v>282</v>
      </c>
      <c r="C20" s="244" t="s">
        <v>168</v>
      </c>
      <c r="D20" s="227" t="s">
        <v>194</v>
      </c>
      <c r="E20" s="124">
        <v>43675</v>
      </c>
      <c r="F20" s="158" t="s">
        <v>283</v>
      </c>
      <c r="G20" s="285">
        <v>0</v>
      </c>
      <c r="H20" s="287">
        <v>24</v>
      </c>
      <c r="I20" s="287">
        <v>0</v>
      </c>
      <c r="J20" s="287">
        <f t="shared" si="3"/>
        <v>24</v>
      </c>
      <c r="K20" s="242">
        <f t="shared" si="0"/>
        <v>0</v>
      </c>
      <c r="L20" s="50">
        <v>2441576</v>
      </c>
      <c r="M20" s="162">
        <f t="shared" si="4"/>
        <v>2441576</v>
      </c>
      <c r="N20" s="248">
        <v>4679022</v>
      </c>
      <c r="O20" s="50"/>
      <c r="P20" s="159"/>
      <c r="Q20" s="164">
        <f t="shared" si="5"/>
        <v>7120598</v>
      </c>
      <c r="R20" s="165">
        <f>(MIN(VALUE($G20),[1]Assu!$E$3))*R$9</f>
        <v>0</v>
      </c>
      <c r="S20" s="165">
        <f>(MIN(VALUE($G20),[1]Assu!$E$4))*S$9</f>
        <v>0</v>
      </c>
      <c r="T20" s="165">
        <f>(MIN(VALUE($G20),[1]Assu!$E$5))*T$9</f>
        <v>0</v>
      </c>
      <c r="U20" s="159">
        <f t="shared" si="6"/>
        <v>0</v>
      </c>
      <c r="V20" s="159">
        <v>0</v>
      </c>
      <c r="W20" s="50">
        <f t="shared" si="7"/>
        <v>0</v>
      </c>
      <c r="X20" s="50">
        <f t="shared" si="1"/>
        <v>11000000</v>
      </c>
      <c r="Y20" s="159">
        <f t="shared" si="8"/>
        <v>11000000</v>
      </c>
      <c r="Z20" s="50">
        <f t="shared" si="2"/>
        <v>0</v>
      </c>
      <c r="AA20" s="290">
        <f t="shared" si="9"/>
        <v>0</v>
      </c>
      <c r="AB20" s="159"/>
      <c r="AC20" s="166"/>
      <c r="AD20" s="164">
        <f t="shared" si="12"/>
        <v>7120598</v>
      </c>
      <c r="AE20" s="165">
        <f>(MIN(VALUE($G20),[1]Assu!$E$3))*AE$9</f>
        <v>0</v>
      </c>
      <c r="AF20" s="165">
        <f>(MIN(VALUE($G20),[1]Assu!$E$3))*AF$9</f>
        <v>0</v>
      </c>
      <c r="AG20" s="165">
        <v>0</v>
      </c>
      <c r="AH20" s="165">
        <f t="shared" si="11"/>
        <v>0</v>
      </c>
      <c r="AI20" s="48" t="s">
        <v>431</v>
      </c>
      <c r="AJ20" s="48" t="s">
        <v>430</v>
      </c>
      <c r="AK20" s="48"/>
      <c r="AL20" s="48"/>
      <c r="AM20" s="48" t="s">
        <v>301</v>
      </c>
      <c r="AN20" s="123" t="s">
        <v>284</v>
      </c>
      <c r="AO20" s="123" t="s">
        <v>286</v>
      </c>
      <c r="AP20" s="168" t="s">
        <v>160</v>
      </c>
    </row>
    <row r="21" spans="1:46" s="18" customFormat="1">
      <c r="A21" s="156">
        <v>12</v>
      </c>
      <c r="B21" s="288" t="s">
        <v>303</v>
      </c>
      <c r="C21" s="245" t="s">
        <v>165</v>
      </c>
      <c r="D21" s="47" t="s">
        <v>368</v>
      </c>
      <c r="E21" s="124">
        <v>42254</v>
      </c>
      <c r="F21" s="291" t="s">
        <v>304</v>
      </c>
      <c r="G21" s="290">
        <v>8300000</v>
      </c>
      <c r="H21" s="287">
        <v>24</v>
      </c>
      <c r="I21" s="287">
        <v>0</v>
      </c>
      <c r="J21" s="287">
        <f t="shared" si="3"/>
        <v>24</v>
      </c>
      <c r="K21" s="242">
        <f t="shared" si="0"/>
        <v>8300000</v>
      </c>
      <c r="L21" s="50"/>
      <c r="M21" s="162">
        <f t="shared" si="4"/>
        <v>8300000</v>
      </c>
      <c r="N21" s="248">
        <v>10000000</v>
      </c>
      <c r="O21" s="50">
        <v>700000</v>
      </c>
      <c r="P21" s="248">
        <v>2952322</v>
      </c>
      <c r="Q21" s="164">
        <f t="shared" si="5"/>
        <v>21952322</v>
      </c>
      <c r="R21" s="165">
        <f>(MIN(VALUE($G21),[1]Assu!$E$3))*R$9</f>
        <v>664000</v>
      </c>
      <c r="S21" s="165">
        <f>(MIN(VALUE($G21),[1]Assu!$E$4))*S$9</f>
        <v>124500</v>
      </c>
      <c r="T21" s="165">
        <f>(MIN(VALUE($G21),[1]Assu!$E$5))*T$9</f>
        <v>83000</v>
      </c>
      <c r="U21" s="159">
        <f t="shared" si="6"/>
        <v>871500</v>
      </c>
      <c r="V21" s="50">
        <v>0</v>
      </c>
      <c r="W21" s="50">
        <f t="shared" si="7"/>
        <v>0</v>
      </c>
      <c r="X21" s="50">
        <f t="shared" si="1"/>
        <v>11000000</v>
      </c>
      <c r="Y21" s="159">
        <f t="shared" si="8"/>
        <v>11000000</v>
      </c>
      <c r="Z21" s="50">
        <f t="shared" si="2"/>
        <v>10080822</v>
      </c>
      <c r="AA21" s="290">
        <f t="shared" si="9"/>
        <v>762123.3</v>
      </c>
      <c r="AB21" s="51">
        <v>2000000</v>
      </c>
      <c r="AC21" s="51"/>
      <c r="AD21" s="164">
        <f t="shared" si="12"/>
        <v>18318698.699999999</v>
      </c>
      <c r="AE21" s="165">
        <f>(MIN(VALUE($G21),[1]Assu!$E$3))*AE$9</f>
        <v>1950500</v>
      </c>
      <c r="AF21" s="165">
        <f>(MIN(VALUE($G21),[1]Assu!$E$3))*AF$9</f>
        <v>2821999.9999999995</v>
      </c>
      <c r="AG21" s="165">
        <f t="shared" si="10"/>
        <v>1829360.1666666667</v>
      </c>
      <c r="AH21" s="165">
        <f t="shared" si="11"/>
        <v>762123.3</v>
      </c>
      <c r="AI21" s="48"/>
      <c r="AJ21" s="48" t="s">
        <v>430</v>
      </c>
      <c r="AK21" s="48" t="s">
        <v>426</v>
      </c>
      <c r="AL21" s="48" t="s">
        <v>420</v>
      </c>
      <c r="AM21" s="347" t="s">
        <v>429</v>
      </c>
      <c r="AN21" s="48" t="s">
        <v>305</v>
      </c>
      <c r="AO21" s="48" t="s">
        <v>141</v>
      </c>
      <c r="AP21" s="48" t="s">
        <v>160</v>
      </c>
      <c r="AT21" s="23"/>
    </row>
    <row r="22" spans="1:46">
      <c r="A22" s="156">
        <v>13</v>
      </c>
      <c r="B22" s="157" t="s">
        <v>118</v>
      </c>
      <c r="C22" s="245" t="s">
        <v>165</v>
      </c>
      <c r="D22" s="47" t="s">
        <v>192</v>
      </c>
      <c r="E22" s="124">
        <v>41974</v>
      </c>
      <c r="F22" s="247" t="s">
        <v>119</v>
      </c>
      <c r="G22" s="322">
        <v>16500000</v>
      </c>
      <c r="H22" s="287">
        <v>24</v>
      </c>
      <c r="I22" s="287">
        <v>0</v>
      </c>
      <c r="J22" s="287">
        <f t="shared" si="3"/>
        <v>24</v>
      </c>
      <c r="K22" s="242">
        <f t="shared" si="0"/>
        <v>16500000</v>
      </c>
      <c r="L22" s="50"/>
      <c r="M22" s="162">
        <f t="shared" si="4"/>
        <v>16500000</v>
      </c>
      <c r="N22" s="51"/>
      <c r="O22" s="50">
        <v>700000</v>
      </c>
      <c r="P22" s="50"/>
      <c r="Q22" s="164">
        <f t="shared" si="5"/>
        <v>17200000</v>
      </c>
      <c r="R22" s="165">
        <f>(MIN(VALUE($G22),[1]Assu!$E$3))*R$9</f>
        <v>1320000</v>
      </c>
      <c r="S22" s="165">
        <f>(MIN(VALUE($G22),[1]Assu!$E$4))*S$9</f>
        <v>247500</v>
      </c>
      <c r="T22" s="165">
        <f>(MIN(VALUE($G22),[1]Assu!$E$5))*T$9</f>
        <v>165000</v>
      </c>
      <c r="U22" s="159">
        <f t="shared" si="6"/>
        <v>1732500</v>
      </c>
      <c r="V22" s="159">
        <v>0</v>
      </c>
      <c r="W22" s="50">
        <f t="shared" si="7"/>
        <v>0</v>
      </c>
      <c r="X22" s="50">
        <f t="shared" si="1"/>
        <v>11000000</v>
      </c>
      <c r="Y22" s="159">
        <f t="shared" si="8"/>
        <v>11000000</v>
      </c>
      <c r="Z22" s="50">
        <f t="shared" si="2"/>
        <v>4467500</v>
      </c>
      <c r="AA22" s="290">
        <f t="shared" si="9"/>
        <v>223375</v>
      </c>
      <c r="AB22" s="159"/>
      <c r="AC22" s="166"/>
      <c r="AD22" s="164">
        <f t="shared" si="12"/>
        <v>15244125</v>
      </c>
      <c r="AE22" s="165">
        <f>(MIN(VALUE($G22),[1]Assu!$E$3))*AE$9</f>
        <v>3877500</v>
      </c>
      <c r="AF22" s="165">
        <f>(MIN(VALUE($G22),[1]Assu!$E$3))*AF$9</f>
        <v>5609999.9999999991</v>
      </c>
      <c r="AG22" s="165">
        <f t="shared" si="10"/>
        <v>1433333.3333333333</v>
      </c>
      <c r="AH22" s="165">
        <f t="shared" si="11"/>
        <v>223375</v>
      </c>
      <c r="AI22" s="48"/>
      <c r="AJ22" s="48"/>
      <c r="AK22" s="48" t="s">
        <v>426</v>
      </c>
      <c r="AL22" s="48"/>
      <c r="AM22" s="48" t="s">
        <v>301</v>
      </c>
      <c r="AN22" s="123" t="s">
        <v>228</v>
      </c>
      <c r="AO22" s="168" t="s">
        <v>141</v>
      </c>
      <c r="AP22" s="168" t="s">
        <v>160</v>
      </c>
    </row>
    <row r="23" spans="1:46">
      <c r="A23" s="156">
        <v>14</v>
      </c>
      <c r="B23" s="243" t="s">
        <v>291</v>
      </c>
      <c r="C23" s="245" t="s">
        <v>165</v>
      </c>
      <c r="D23" s="227" t="s">
        <v>197</v>
      </c>
      <c r="E23" s="124">
        <v>43804</v>
      </c>
      <c r="F23" s="246" t="s">
        <v>306</v>
      </c>
      <c r="G23" s="285">
        <v>7500000</v>
      </c>
      <c r="H23" s="287">
        <v>24</v>
      </c>
      <c r="I23" s="287">
        <v>0</v>
      </c>
      <c r="J23" s="287">
        <f t="shared" si="3"/>
        <v>24</v>
      </c>
      <c r="K23" s="242">
        <f t="shared" si="0"/>
        <v>7500000</v>
      </c>
      <c r="L23" s="50"/>
      <c r="M23" s="162">
        <f t="shared" si="4"/>
        <v>7500000</v>
      </c>
      <c r="N23" s="51"/>
      <c r="O23" s="50">
        <v>700000</v>
      </c>
      <c r="P23" s="50"/>
      <c r="Q23" s="164">
        <f t="shared" si="5"/>
        <v>8200000</v>
      </c>
      <c r="R23" s="165">
        <f>(MIN(VALUE($G23),[1]Assu!$E$3))*R$9</f>
        <v>600000</v>
      </c>
      <c r="S23" s="165">
        <f>(MIN(VALUE($G23),[1]Assu!$E$4))*S$9</f>
        <v>112500</v>
      </c>
      <c r="T23" s="165">
        <f>(MIN(VALUE($G23),[1]Assu!$E$5))*T$9</f>
        <v>75000</v>
      </c>
      <c r="U23" s="159">
        <f t="shared" si="6"/>
        <v>787500</v>
      </c>
      <c r="V23" s="159">
        <v>0</v>
      </c>
      <c r="W23" s="50">
        <f t="shared" si="7"/>
        <v>0</v>
      </c>
      <c r="X23" s="50">
        <f t="shared" si="1"/>
        <v>11000000</v>
      </c>
      <c r="Y23" s="159">
        <f t="shared" si="8"/>
        <v>11000000</v>
      </c>
      <c r="Z23" s="50">
        <f t="shared" si="2"/>
        <v>0</v>
      </c>
      <c r="AA23" s="290">
        <f t="shared" si="9"/>
        <v>0</v>
      </c>
      <c r="AB23" s="159"/>
      <c r="AC23" s="166"/>
      <c r="AD23" s="164">
        <f t="shared" si="12"/>
        <v>7412500</v>
      </c>
      <c r="AE23" s="165">
        <f>(MIN(VALUE($G23),[1]Assu!$E$3))*AE$9</f>
        <v>1762500</v>
      </c>
      <c r="AF23" s="165">
        <f>(MIN(VALUE($G23),[1]Assu!$E$3))*AF$9</f>
        <v>2549999.9999999995</v>
      </c>
      <c r="AG23" s="165">
        <f t="shared" si="10"/>
        <v>683333.33333333337</v>
      </c>
      <c r="AH23" s="165">
        <f t="shared" si="11"/>
        <v>0</v>
      </c>
      <c r="AI23" s="48"/>
      <c r="AJ23" s="48"/>
      <c r="AK23" s="48" t="s">
        <v>426</v>
      </c>
      <c r="AL23" s="48"/>
      <c r="AM23" s="48" t="s">
        <v>301</v>
      </c>
      <c r="AN23" s="123" t="s">
        <v>292</v>
      </c>
      <c r="AO23" s="123" t="s">
        <v>293</v>
      </c>
      <c r="AP23" s="168" t="s">
        <v>160</v>
      </c>
    </row>
    <row r="24" spans="1:46">
      <c r="A24" s="156">
        <v>15</v>
      </c>
      <c r="B24" s="243" t="s">
        <v>287</v>
      </c>
      <c r="C24" s="245" t="s">
        <v>165</v>
      </c>
      <c r="D24" s="227" t="s">
        <v>197</v>
      </c>
      <c r="E24" s="124">
        <v>43725</v>
      </c>
      <c r="F24" s="246" t="s">
        <v>290</v>
      </c>
      <c r="G24" s="285">
        <v>7000000</v>
      </c>
      <c r="H24" s="287">
        <v>24</v>
      </c>
      <c r="I24" s="287">
        <v>0</v>
      </c>
      <c r="J24" s="287">
        <f t="shared" si="3"/>
        <v>24</v>
      </c>
      <c r="K24" s="242">
        <f t="shared" si="0"/>
        <v>7000000</v>
      </c>
      <c r="L24" s="50">
        <f>650000+750000</f>
        <v>1400000</v>
      </c>
      <c r="M24" s="162">
        <f t="shared" si="4"/>
        <v>8400000</v>
      </c>
      <c r="N24" s="248">
        <v>80769</v>
      </c>
      <c r="O24" s="50">
        <v>700000</v>
      </c>
      <c r="P24" s="50"/>
      <c r="Q24" s="164">
        <f t="shared" si="5"/>
        <v>9180769</v>
      </c>
      <c r="R24" s="165">
        <f>(MIN(VALUE($G24),[1]Assu!$E$3))*R$9</f>
        <v>560000</v>
      </c>
      <c r="S24" s="165">
        <f>(MIN(VALUE($G24),[1]Assu!$E$4))*S$9</f>
        <v>105000</v>
      </c>
      <c r="T24" s="165">
        <f>(MIN(VALUE($G24),[1]Assu!$E$5))*T$9</f>
        <v>70000</v>
      </c>
      <c r="U24" s="159">
        <f t="shared" si="6"/>
        <v>735000</v>
      </c>
      <c r="V24" s="159">
        <v>0</v>
      </c>
      <c r="W24" s="50">
        <f t="shared" si="7"/>
        <v>0</v>
      </c>
      <c r="X24" s="50">
        <f t="shared" si="1"/>
        <v>11000000</v>
      </c>
      <c r="Y24" s="159">
        <f t="shared" si="8"/>
        <v>11000000</v>
      </c>
      <c r="Z24" s="50">
        <f t="shared" si="2"/>
        <v>0</v>
      </c>
      <c r="AA24" s="290">
        <f t="shared" si="9"/>
        <v>0</v>
      </c>
      <c r="AB24" s="159"/>
      <c r="AC24" s="166"/>
      <c r="AD24" s="164">
        <f t="shared" si="12"/>
        <v>8445769</v>
      </c>
      <c r="AE24" s="165">
        <f>(MIN(VALUE($G24),[1]Assu!$E$3))*AE$9</f>
        <v>1645000</v>
      </c>
      <c r="AF24" s="165">
        <f>(MIN(VALUE($G24),[1]Assu!$E$3))*AF$9</f>
        <v>2380000</v>
      </c>
      <c r="AG24" s="165">
        <f t="shared" si="10"/>
        <v>765064.08333333337</v>
      </c>
      <c r="AH24" s="165">
        <f t="shared" si="11"/>
        <v>0</v>
      </c>
      <c r="AI24" s="48" t="s">
        <v>418</v>
      </c>
      <c r="AJ24" s="48" t="s">
        <v>421</v>
      </c>
      <c r="AK24" s="48" t="s">
        <v>426</v>
      </c>
      <c r="AL24" s="48"/>
      <c r="AM24" s="48" t="s">
        <v>301</v>
      </c>
      <c r="AN24" s="123" t="s">
        <v>289</v>
      </c>
      <c r="AO24" s="123" t="s">
        <v>288</v>
      </c>
      <c r="AP24" s="168" t="s">
        <v>160</v>
      </c>
    </row>
    <row r="25" spans="1:46">
      <c r="A25" s="156">
        <v>16</v>
      </c>
      <c r="B25" s="346" t="s">
        <v>400</v>
      </c>
      <c r="C25" s="245" t="s">
        <v>165</v>
      </c>
      <c r="D25" s="227" t="s">
        <v>197</v>
      </c>
      <c r="E25" s="342">
        <v>44257</v>
      </c>
      <c r="F25" s="171" t="s">
        <v>403</v>
      </c>
      <c r="G25" s="285">
        <v>9000000</v>
      </c>
      <c r="H25" s="287">
        <v>24</v>
      </c>
      <c r="I25" s="287">
        <v>0</v>
      </c>
      <c r="J25" s="287">
        <f t="shared" si="3"/>
        <v>24</v>
      </c>
      <c r="K25" s="242">
        <f t="shared" si="0"/>
        <v>9000000</v>
      </c>
      <c r="L25" s="50">
        <f>650000+750000</f>
        <v>1400000</v>
      </c>
      <c r="M25" s="162">
        <f t="shared" si="4"/>
        <v>10400000</v>
      </c>
      <c r="N25" s="248">
        <v>100000</v>
      </c>
      <c r="O25" s="50">
        <v>700000</v>
      </c>
      <c r="P25" s="50"/>
      <c r="Q25" s="164">
        <f t="shared" si="5"/>
        <v>11200000</v>
      </c>
      <c r="R25" s="165">
        <v>0</v>
      </c>
      <c r="S25" s="165">
        <v>0</v>
      </c>
      <c r="T25" s="165">
        <v>0</v>
      </c>
      <c r="U25" s="159">
        <f t="shared" si="6"/>
        <v>0</v>
      </c>
      <c r="V25" s="159">
        <v>0</v>
      </c>
      <c r="W25" s="50">
        <f t="shared" si="7"/>
        <v>0</v>
      </c>
      <c r="X25" s="50">
        <f t="shared" si="1"/>
        <v>11000000</v>
      </c>
      <c r="Y25" s="159">
        <f t="shared" si="8"/>
        <v>11000000</v>
      </c>
      <c r="Z25" s="50">
        <f t="shared" si="2"/>
        <v>200000</v>
      </c>
      <c r="AA25" s="290">
        <f t="shared" si="9"/>
        <v>10000</v>
      </c>
      <c r="AB25" s="159"/>
      <c r="AC25" s="166"/>
      <c r="AD25" s="164">
        <f t="shared" si="12"/>
        <v>11190000</v>
      </c>
      <c r="AE25" s="165"/>
      <c r="AF25" s="165"/>
      <c r="AG25" s="165">
        <f t="shared" si="10"/>
        <v>933333.33333333337</v>
      </c>
      <c r="AH25" s="165">
        <f t="shared" si="11"/>
        <v>10000</v>
      </c>
      <c r="AI25" s="48" t="s">
        <v>418</v>
      </c>
      <c r="AJ25" s="48" t="s">
        <v>421</v>
      </c>
      <c r="AK25" s="48" t="s">
        <v>426</v>
      </c>
      <c r="AL25" s="48"/>
      <c r="AM25" s="48" t="s">
        <v>301</v>
      </c>
      <c r="AN25" s="123" t="s">
        <v>404</v>
      </c>
      <c r="AO25" s="123" t="s">
        <v>405</v>
      </c>
      <c r="AP25" s="168" t="s">
        <v>160</v>
      </c>
    </row>
    <row r="26" spans="1:46">
      <c r="A26" s="156">
        <v>17</v>
      </c>
      <c r="B26" s="286" t="s">
        <v>417</v>
      </c>
      <c r="C26" s="245" t="s">
        <v>165</v>
      </c>
      <c r="D26" s="227" t="s">
        <v>197</v>
      </c>
      <c r="E26" s="342">
        <v>44292</v>
      </c>
      <c r="F26" s="171"/>
      <c r="G26" s="285">
        <v>6500000</v>
      </c>
      <c r="H26" s="287">
        <v>24</v>
      </c>
      <c r="I26" s="287">
        <v>0</v>
      </c>
      <c r="J26" s="287">
        <f t="shared" si="3"/>
        <v>24</v>
      </c>
      <c r="K26" s="242">
        <f t="shared" si="0"/>
        <v>6500000</v>
      </c>
      <c r="L26" s="50"/>
      <c r="M26" s="162">
        <f t="shared" si="4"/>
        <v>6500000</v>
      </c>
      <c r="N26" s="159"/>
      <c r="O26" s="50">
        <v>700000</v>
      </c>
      <c r="P26" s="50"/>
      <c r="Q26" s="164">
        <f t="shared" si="5"/>
        <v>7200000</v>
      </c>
      <c r="R26" s="165">
        <v>0</v>
      </c>
      <c r="S26" s="165">
        <v>0</v>
      </c>
      <c r="T26" s="165">
        <v>0</v>
      </c>
      <c r="U26" s="159">
        <f t="shared" si="6"/>
        <v>0</v>
      </c>
      <c r="V26" s="159">
        <v>0</v>
      </c>
      <c r="W26" s="50">
        <f t="shared" si="7"/>
        <v>0</v>
      </c>
      <c r="X26" s="50">
        <f t="shared" si="1"/>
        <v>11000000</v>
      </c>
      <c r="Y26" s="159">
        <f t="shared" si="8"/>
        <v>11000000</v>
      </c>
      <c r="Z26" s="50">
        <f t="shared" si="2"/>
        <v>0</v>
      </c>
      <c r="AA26" s="290">
        <f t="shared" si="9"/>
        <v>0</v>
      </c>
      <c r="AB26" s="159"/>
      <c r="AC26" s="166"/>
      <c r="AD26" s="164">
        <f t="shared" si="12"/>
        <v>7200000</v>
      </c>
      <c r="AE26" s="165"/>
      <c r="AF26" s="165"/>
      <c r="AG26" s="165">
        <f t="shared" si="10"/>
        <v>600000</v>
      </c>
      <c r="AH26" s="165">
        <f t="shared" si="11"/>
        <v>0</v>
      </c>
      <c r="AI26" s="48"/>
      <c r="AJ26" s="48"/>
      <c r="AK26" s="48" t="s">
        <v>426</v>
      </c>
      <c r="AL26" s="48"/>
      <c r="AM26" s="48" t="s">
        <v>301</v>
      </c>
      <c r="AN26" s="123" t="s">
        <v>424</v>
      </c>
      <c r="AO26" s="123" t="s">
        <v>425</v>
      </c>
      <c r="AP26" s="168" t="s">
        <v>160</v>
      </c>
    </row>
    <row r="27" spans="1:46">
      <c r="A27" s="156">
        <v>18</v>
      </c>
      <c r="B27" s="243" t="s">
        <v>211</v>
      </c>
      <c r="C27" s="245" t="s">
        <v>165</v>
      </c>
      <c r="D27" s="227" t="s">
        <v>368</v>
      </c>
      <c r="E27" s="124">
        <v>43374</v>
      </c>
      <c r="F27" s="246" t="s">
        <v>212</v>
      </c>
      <c r="G27" s="285">
        <v>8000000</v>
      </c>
      <c r="H27" s="287">
        <v>24</v>
      </c>
      <c r="I27" s="287">
        <v>0</v>
      </c>
      <c r="J27" s="287">
        <f t="shared" si="3"/>
        <v>24</v>
      </c>
      <c r="K27" s="242">
        <f t="shared" si="0"/>
        <v>8000000</v>
      </c>
      <c r="L27" s="292">
        <f>1800000+1200000</f>
        <v>3000000</v>
      </c>
      <c r="M27" s="162">
        <f t="shared" si="4"/>
        <v>11000000</v>
      </c>
      <c r="N27" s="248">
        <v>4942385</v>
      </c>
      <c r="O27" s="50">
        <v>700000</v>
      </c>
      <c r="P27" s="50"/>
      <c r="Q27" s="164">
        <f t="shared" si="5"/>
        <v>16642385</v>
      </c>
      <c r="R27" s="165">
        <f>(MIN(VALUE($G27),[1]Assu!$E$3))*R$9</f>
        <v>640000</v>
      </c>
      <c r="S27" s="165">
        <f>(MIN(VALUE($G27),[1]Assu!$E$4))*S$9</f>
        <v>120000</v>
      </c>
      <c r="T27" s="165">
        <f>(MIN(VALUE($G27),[1]Assu!$E$5))*T$9</f>
        <v>80000</v>
      </c>
      <c r="U27" s="159">
        <f t="shared" si="6"/>
        <v>840000</v>
      </c>
      <c r="V27" s="159">
        <v>0</v>
      </c>
      <c r="W27" s="50">
        <f t="shared" si="7"/>
        <v>0</v>
      </c>
      <c r="X27" s="50">
        <f t="shared" si="1"/>
        <v>11000000</v>
      </c>
      <c r="Y27" s="159">
        <f t="shared" si="8"/>
        <v>11000000</v>
      </c>
      <c r="Z27" s="50">
        <f t="shared" si="2"/>
        <v>4802385</v>
      </c>
      <c r="AA27" s="290">
        <f t="shared" si="9"/>
        <v>240119.25</v>
      </c>
      <c r="AB27" s="159"/>
      <c r="AC27" s="166"/>
      <c r="AD27" s="164">
        <f t="shared" si="12"/>
        <v>15562265.75</v>
      </c>
      <c r="AE27" s="165">
        <f>(MIN(VALUE($G27),[1]Assu!$E$3))*AE$9</f>
        <v>1880000</v>
      </c>
      <c r="AF27" s="165">
        <f>(MIN(VALUE($G27),[1]Assu!$E$3))*AF$9</f>
        <v>2719999.9999999995</v>
      </c>
      <c r="AG27" s="165">
        <f t="shared" si="10"/>
        <v>1386865.4166666667</v>
      </c>
      <c r="AH27" s="165">
        <f t="shared" si="11"/>
        <v>240119.25</v>
      </c>
      <c r="AI27" s="48" t="s">
        <v>418</v>
      </c>
      <c r="AJ27" s="48" t="s">
        <v>422</v>
      </c>
      <c r="AK27" s="48" t="s">
        <v>426</v>
      </c>
      <c r="AL27" s="48"/>
      <c r="AM27" s="48" t="s">
        <v>301</v>
      </c>
      <c r="AN27" s="123" t="s">
        <v>213</v>
      </c>
      <c r="AO27" s="123" t="s">
        <v>214</v>
      </c>
      <c r="AP27" s="168" t="s">
        <v>160</v>
      </c>
    </row>
    <row r="28" spans="1:46">
      <c r="A28" s="156">
        <v>19</v>
      </c>
      <c r="B28" s="243" t="s">
        <v>317</v>
      </c>
      <c r="C28" s="245" t="s">
        <v>165</v>
      </c>
      <c r="D28" s="227" t="s">
        <v>368</v>
      </c>
      <c r="E28" s="124">
        <v>44074</v>
      </c>
      <c r="F28" s="246" t="s">
        <v>321</v>
      </c>
      <c r="G28" s="285">
        <v>7500000</v>
      </c>
      <c r="H28" s="287">
        <v>24</v>
      </c>
      <c r="I28" s="287">
        <v>0</v>
      </c>
      <c r="J28" s="287">
        <f t="shared" si="3"/>
        <v>24</v>
      </c>
      <c r="K28" s="242">
        <f t="shared" si="0"/>
        <v>7500000</v>
      </c>
      <c r="L28" s="50">
        <f>1800000</f>
        <v>1800000</v>
      </c>
      <c r="M28" s="162">
        <f t="shared" si="4"/>
        <v>9300000</v>
      </c>
      <c r="N28" s="248">
        <v>7231481</v>
      </c>
      <c r="O28" s="50">
        <v>700000</v>
      </c>
      <c r="P28" s="50"/>
      <c r="Q28" s="164">
        <f t="shared" si="5"/>
        <v>17231481</v>
      </c>
      <c r="R28" s="165">
        <f>(MIN(VALUE($G28),[1]Assu!$E$3))*R$9</f>
        <v>600000</v>
      </c>
      <c r="S28" s="165">
        <f>(MIN(VALUE($G28),[1]Assu!$E$4))*S$9</f>
        <v>112500</v>
      </c>
      <c r="T28" s="165">
        <f>(MIN(VALUE($G28),[1]Assu!$E$5))*T$9</f>
        <v>75000</v>
      </c>
      <c r="U28" s="159">
        <f t="shared" si="6"/>
        <v>787500</v>
      </c>
      <c r="V28" s="159">
        <v>0</v>
      </c>
      <c r="W28" s="50">
        <f t="shared" si="7"/>
        <v>0</v>
      </c>
      <c r="X28" s="50">
        <f t="shared" si="1"/>
        <v>11000000</v>
      </c>
      <c r="Y28" s="159">
        <f t="shared" si="8"/>
        <v>11000000</v>
      </c>
      <c r="Z28" s="50">
        <f t="shared" si="2"/>
        <v>5443981</v>
      </c>
      <c r="AA28" s="290">
        <f t="shared" si="9"/>
        <v>294398.09999999998</v>
      </c>
      <c r="AB28" s="159"/>
      <c r="AC28" s="166"/>
      <c r="AD28" s="164">
        <f t="shared" si="12"/>
        <v>16149582.9</v>
      </c>
      <c r="AE28" s="165">
        <f>(MIN(VALUE($G28),[1]Assu!$E$3))*AE$9</f>
        <v>1762500</v>
      </c>
      <c r="AF28" s="165">
        <f>(MIN(VALUE($G28),[1]Assu!$E$3))*AF$9</f>
        <v>2549999.9999999995</v>
      </c>
      <c r="AG28" s="165">
        <f t="shared" si="10"/>
        <v>1435956.75</v>
      </c>
      <c r="AH28" s="165">
        <f t="shared" si="11"/>
        <v>294398.09999999998</v>
      </c>
      <c r="AI28" s="48" t="s">
        <v>418</v>
      </c>
      <c r="AJ28" s="48" t="s">
        <v>422</v>
      </c>
      <c r="AK28" s="48" t="s">
        <v>426</v>
      </c>
      <c r="AL28" s="48"/>
      <c r="AM28" s="48" t="s">
        <v>301</v>
      </c>
      <c r="AN28" s="123" t="s">
        <v>318</v>
      </c>
      <c r="AO28" s="123" t="s">
        <v>319</v>
      </c>
      <c r="AP28" s="168" t="s">
        <v>160</v>
      </c>
    </row>
    <row r="29" spans="1:46">
      <c r="A29" s="156">
        <v>20</v>
      </c>
      <c r="B29" s="243" t="s">
        <v>398</v>
      </c>
      <c r="C29" s="245" t="s">
        <v>165</v>
      </c>
      <c r="D29" s="227" t="s">
        <v>368</v>
      </c>
      <c r="E29" s="342">
        <v>44256</v>
      </c>
      <c r="F29" s="171" t="s">
        <v>399</v>
      </c>
      <c r="G29" s="285">
        <v>7000000</v>
      </c>
      <c r="H29" s="287">
        <v>24</v>
      </c>
      <c r="I29" s="287">
        <v>0</v>
      </c>
      <c r="J29" s="287">
        <f t="shared" si="3"/>
        <v>24</v>
      </c>
      <c r="K29" s="242">
        <f t="shared" si="0"/>
        <v>7000000</v>
      </c>
      <c r="L29" s="50">
        <f>1800000</f>
        <v>1800000</v>
      </c>
      <c r="M29" s="162">
        <f t="shared" si="4"/>
        <v>8800000</v>
      </c>
      <c r="N29" s="248">
        <v>7581308</v>
      </c>
      <c r="O29" s="50">
        <v>700000</v>
      </c>
      <c r="P29" s="50"/>
      <c r="Q29" s="164">
        <f t="shared" si="5"/>
        <v>17081308</v>
      </c>
      <c r="R29" s="165">
        <v>0</v>
      </c>
      <c r="S29" s="165">
        <v>0</v>
      </c>
      <c r="T29" s="165">
        <v>0</v>
      </c>
      <c r="U29" s="159">
        <f t="shared" si="6"/>
        <v>0</v>
      </c>
      <c r="V29" s="159">
        <v>0</v>
      </c>
      <c r="W29" s="50">
        <f t="shared" si="7"/>
        <v>0</v>
      </c>
      <c r="X29" s="50">
        <f t="shared" si="1"/>
        <v>11000000</v>
      </c>
      <c r="Y29" s="159">
        <f t="shared" si="8"/>
        <v>11000000</v>
      </c>
      <c r="Z29" s="50">
        <f t="shared" si="2"/>
        <v>6081308</v>
      </c>
      <c r="AA29" s="290">
        <f t="shared" si="9"/>
        <v>358130.80000000005</v>
      </c>
      <c r="AB29" s="159"/>
      <c r="AC29" s="166"/>
      <c r="AD29" s="164">
        <f t="shared" si="12"/>
        <v>16723177.199999999</v>
      </c>
      <c r="AE29" s="165"/>
      <c r="AF29" s="165"/>
      <c r="AG29" s="165">
        <f t="shared" si="10"/>
        <v>1423442.3333333333</v>
      </c>
      <c r="AH29" s="165">
        <f t="shared" si="11"/>
        <v>358130.80000000005</v>
      </c>
      <c r="AI29" s="48" t="s">
        <v>418</v>
      </c>
      <c r="AJ29" s="48" t="s">
        <v>422</v>
      </c>
      <c r="AK29" s="48" t="s">
        <v>426</v>
      </c>
      <c r="AL29" s="48"/>
      <c r="AM29" s="48" t="s">
        <v>301</v>
      </c>
      <c r="AN29" s="123" t="s">
        <v>412</v>
      </c>
      <c r="AO29" s="123" t="s">
        <v>413</v>
      </c>
      <c r="AP29" s="168" t="s">
        <v>160</v>
      </c>
    </row>
    <row r="30" spans="1:46">
      <c r="A30" s="156">
        <v>21</v>
      </c>
      <c r="B30" s="286"/>
      <c r="C30" s="47"/>
      <c r="D30" s="47"/>
      <c r="E30" s="124"/>
      <c r="F30" s="247"/>
      <c r="G30" s="239">
        <v>0</v>
      </c>
      <c r="H30" s="287">
        <v>24</v>
      </c>
      <c r="I30" s="287">
        <v>0</v>
      </c>
      <c r="J30" s="287">
        <f t="shared" si="3"/>
        <v>24</v>
      </c>
      <c r="K30" s="242">
        <f t="shared" si="0"/>
        <v>0</v>
      </c>
      <c r="L30" s="50"/>
      <c r="M30" s="162">
        <f t="shared" si="4"/>
        <v>0</v>
      </c>
      <c r="N30" s="159"/>
      <c r="O30" s="50"/>
      <c r="P30" s="50"/>
      <c r="Q30" s="164">
        <f t="shared" si="5"/>
        <v>0</v>
      </c>
      <c r="R30" s="165">
        <v>0</v>
      </c>
      <c r="S30" s="165">
        <v>0</v>
      </c>
      <c r="T30" s="165">
        <v>0</v>
      </c>
      <c r="U30" s="159">
        <f t="shared" si="6"/>
        <v>0</v>
      </c>
      <c r="V30" s="159">
        <v>0</v>
      </c>
      <c r="W30" s="50">
        <f t="shared" si="7"/>
        <v>0</v>
      </c>
      <c r="X30" s="50">
        <f t="shared" si="1"/>
        <v>0</v>
      </c>
      <c r="Y30" s="159">
        <f t="shared" si="8"/>
        <v>0</v>
      </c>
      <c r="Z30" s="50">
        <f t="shared" si="2"/>
        <v>0</v>
      </c>
      <c r="AA30" s="290">
        <f t="shared" si="9"/>
        <v>0</v>
      </c>
      <c r="AB30" s="159"/>
      <c r="AC30" s="166"/>
      <c r="AD30" s="164">
        <f t="shared" si="12"/>
        <v>0</v>
      </c>
      <c r="AE30" s="165">
        <f>(MIN(VALUE($G30),[1]Assu!$E$3))*AE$9</f>
        <v>0</v>
      </c>
      <c r="AF30" s="165">
        <f>(MIN(VALUE($G30),[1]Assu!$E$3))*AF$9</f>
        <v>0</v>
      </c>
      <c r="AG30" s="165">
        <f t="shared" si="10"/>
        <v>0</v>
      </c>
      <c r="AH30" s="165">
        <f t="shared" si="11"/>
        <v>0</v>
      </c>
      <c r="AI30" s="48"/>
      <c r="AJ30" s="48"/>
      <c r="AK30" s="48"/>
      <c r="AL30" s="48"/>
      <c r="AM30" s="52"/>
      <c r="AN30" s="123"/>
      <c r="AO30" s="123"/>
      <c r="AP30" s="168"/>
    </row>
    <row r="31" spans="1:46">
      <c r="A31" s="156">
        <v>22</v>
      </c>
      <c r="B31" s="157"/>
      <c r="C31" s="47"/>
      <c r="D31" s="47"/>
      <c r="E31" s="124"/>
      <c r="F31" s="247"/>
      <c r="G31" s="239">
        <v>0</v>
      </c>
      <c r="H31" s="287">
        <v>24</v>
      </c>
      <c r="I31" s="287">
        <v>0</v>
      </c>
      <c r="J31" s="287">
        <f t="shared" si="3"/>
        <v>24</v>
      </c>
      <c r="K31" s="242">
        <f t="shared" si="0"/>
        <v>0</v>
      </c>
      <c r="L31" s="161"/>
      <c r="M31" s="162">
        <f t="shared" si="4"/>
        <v>0</v>
      </c>
      <c r="N31" s="159"/>
      <c r="O31" s="50"/>
      <c r="P31" s="50"/>
      <c r="Q31" s="164">
        <f t="shared" si="5"/>
        <v>0</v>
      </c>
      <c r="R31" s="165">
        <f>(MIN(VALUE($G31),[1]Assu!$E$3))*R$9</f>
        <v>0</v>
      </c>
      <c r="S31" s="165">
        <f>(MIN(VALUE($G31),[1]Assu!$E$4))*S$9</f>
        <v>0</v>
      </c>
      <c r="T31" s="165">
        <f>(MIN(VALUE($G31),[1]Assu!$E$5))*T$9</f>
        <v>0</v>
      </c>
      <c r="U31" s="159">
        <f t="shared" si="6"/>
        <v>0</v>
      </c>
      <c r="V31" s="159">
        <v>0</v>
      </c>
      <c r="W31" s="50">
        <f t="shared" si="7"/>
        <v>0</v>
      </c>
      <c r="X31" s="50">
        <f t="shared" si="1"/>
        <v>0</v>
      </c>
      <c r="Y31" s="159">
        <f t="shared" si="8"/>
        <v>0</v>
      </c>
      <c r="Z31" s="50">
        <f t="shared" si="2"/>
        <v>0</v>
      </c>
      <c r="AA31" s="290">
        <f t="shared" si="9"/>
        <v>0</v>
      </c>
      <c r="AB31" s="159"/>
      <c r="AC31" s="166"/>
      <c r="AD31" s="164">
        <f t="shared" si="12"/>
        <v>0</v>
      </c>
      <c r="AE31" s="165">
        <f>(MIN(VALUE($G31),[1]Assu!$E$3))*AE$9</f>
        <v>0</v>
      </c>
      <c r="AF31" s="165">
        <f>(MIN(VALUE($G31),[1]Assu!$E$3))*AF$9</f>
        <v>0</v>
      </c>
      <c r="AG31" s="165">
        <f t="shared" si="10"/>
        <v>0</v>
      </c>
      <c r="AH31" s="165">
        <f t="shared" si="11"/>
        <v>0</v>
      </c>
      <c r="AI31" s="48"/>
      <c r="AJ31" s="48"/>
      <c r="AK31" s="48"/>
      <c r="AL31" s="48"/>
      <c r="AM31" s="167"/>
      <c r="AN31" s="123"/>
      <c r="AO31" s="168"/>
      <c r="AP31" s="168"/>
    </row>
    <row r="32" spans="1:46">
      <c r="A32" s="156"/>
      <c r="B32" s="157"/>
      <c r="C32" s="47"/>
      <c r="D32" s="47"/>
      <c r="E32" s="152"/>
      <c r="F32" s="171"/>
      <c r="G32" s="239"/>
      <c r="H32" s="287"/>
      <c r="I32" s="287"/>
      <c r="J32" s="287"/>
      <c r="K32" s="161"/>
      <c r="L32" s="161"/>
      <c r="M32" s="162"/>
      <c r="N32" s="159"/>
      <c r="O32" s="50"/>
      <c r="P32" s="50"/>
      <c r="Q32" s="164">
        <f t="shared" si="5"/>
        <v>0</v>
      </c>
      <c r="R32" s="165"/>
      <c r="S32" s="165"/>
      <c r="T32" s="165"/>
      <c r="U32" s="159"/>
      <c r="V32" s="159"/>
      <c r="W32" s="159"/>
      <c r="X32" s="159"/>
      <c r="Y32" s="159">
        <f t="shared" si="8"/>
        <v>0</v>
      </c>
      <c r="Z32" s="159"/>
      <c r="AA32" s="290">
        <f t="shared" si="9"/>
        <v>0</v>
      </c>
      <c r="AB32" s="159"/>
      <c r="AC32" s="166"/>
      <c r="AD32" s="164"/>
      <c r="AE32" s="165"/>
      <c r="AF32" s="165"/>
      <c r="AG32" s="165"/>
      <c r="AH32" s="165"/>
      <c r="AI32" s="48"/>
      <c r="AJ32" s="153"/>
      <c r="AK32" s="153"/>
      <c r="AL32" s="153"/>
      <c r="AM32" s="167"/>
      <c r="AN32" s="168"/>
      <c r="AO32" s="168"/>
      <c r="AP32" s="168"/>
    </row>
    <row r="33" spans="1:42">
      <c r="A33" s="156"/>
      <c r="B33" s="157"/>
      <c r="C33" s="152"/>
      <c r="D33" s="152"/>
      <c r="E33" s="152"/>
      <c r="F33" s="171"/>
      <c r="G33" s="239"/>
      <c r="H33" s="160"/>
      <c r="I33" s="160"/>
      <c r="J33" s="160"/>
      <c r="K33" s="161"/>
      <c r="L33" s="161"/>
      <c r="M33" s="180"/>
      <c r="N33" s="159"/>
      <c r="O33" s="50"/>
      <c r="P33" s="163"/>
      <c r="Q33" s="164">
        <f>SUM(M33:P33)</f>
        <v>0</v>
      </c>
      <c r="R33" s="165">
        <f>(MIN(VALUE($G33),Assu!$E$3))*R$9</f>
        <v>0</v>
      </c>
      <c r="S33" s="165">
        <f>(MIN(VALUE($G33),Assu!$E$3))*S$9</f>
        <v>0</v>
      </c>
      <c r="T33" s="165">
        <f>(MIN(VALUE($G33),Assu!$E$5))*T$9</f>
        <v>0</v>
      </c>
      <c r="U33" s="159"/>
      <c r="V33" s="159"/>
      <c r="W33" s="159"/>
      <c r="X33" s="159"/>
      <c r="Y33" s="159"/>
      <c r="Z33" s="159"/>
      <c r="AA33" s="159"/>
      <c r="AB33" s="159"/>
      <c r="AC33" s="166"/>
      <c r="AD33" s="164">
        <f t="shared" ref="AD33" si="13">Q33-U33-AA33-AB33+AC33</f>
        <v>0</v>
      </c>
      <c r="AE33" s="165">
        <f>(MIN(VALUE($G33),Assu!$E$3))*AE$9</f>
        <v>0</v>
      </c>
      <c r="AF33" s="165">
        <f>(MIN(VALUE($G33),Assu!$E$3))*AF$9</f>
        <v>0</v>
      </c>
      <c r="AG33" s="165">
        <f t="shared" ref="AG33" si="14">Q33*$AG$9/12</f>
        <v>0</v>
      </c>
      <c r="AH33" s="165"/>
      <c r="AI33" s="153"/>
      <c r="AJ33" s="153"/>
      <c r="AK33" s="153"/>
      <c r="AL33" s="153"/>
      <c r="AM33" s="167"/>
      <c r="AN33" s="168"/>
      <c r="AO33" s="168"/>
      <c r="AP33" s="168"/>
    </row>
    <row r="34" spans="1:42" s="176" customFormat="1">
      <c r="A34" s="177"/>
      <c r="B34" s="178"/>
      <c r="C34" s="153"/>
      <c r="D34" s="153"/>
      <c r="E34" s="153"/>
      <c r="F34" s="158"/>
      <c r="G34" s="179"/>
      <c r="H34" s="178"/>
      <c r="I34" s="178"/>
      <c r="J34" s="178"/>
      <c r="K34" s="180"/>
      <c r="L34" s="180"/>
      <c r="M34" s="180"/>
      <c r="N34" s="181"/>
      <c r="O34" s="181"/>
      <c r="P34" s="178"/>
      <c r="Q34" s="180"/>
      <c r="R34" s="165">
        <f>(MIN(VALUE($G34),Assu!$E$3))*R$9</f>
        <v>0</v>
      </c>
      <c r="S34" s="165">
        <f>(MIN(VALUE($G34),Assu!$E$3))*S$9</f>
        <v>0</v>
      </c>
      <c r="T34" s="165">
        <f>(MIN(VALUE($G34),Assu!$E$5))*T$9</f>
        <v>0</v>
      </c>
      <c r="U34" s="178"/>
      <c r="V34" s="182"/>
      <c r="W34" s="179"/>
      <c r="X34" s="179"/>
      <c r="Y34" s="179"/>
      <c r="Z34" s="178"/>
      <c r="AA34" s="178"/>
      <c r="AB34" s="181"/>
      <c r="AC34" s="181"/>
      <c r="AD34" s="182"/>
      <c r="AE34" s="165">
        <f>(MIN(VALUE($G34),Assu!$E$3))*AE$9</f>
        <v>0</v>
      </c>
      <c r="AF34" s="165">
        <f>(MIN(VALUE($G34),Assu!$E$3))*AF$9</f>
        <v>0</v>
      </c>
      <c r="AG34" s="182"/>
      <c r="AH34" s="182"/>
      <c r="AI34" s="153"/>
      <c r="AJ34" s="158"/>
      <c r="AK34" s="158"/>
      <c r="AL34" s="153"/>
      <c r="AM34" s="153"/>
      <c r="AN34" s="153"/>
      <c r="AO34" s="153"/>
      <c r="AP34" s="153"/>
    </row>
    <row r="35" spans="1:42" s="188" customFormat="1">
      <c r="A35" s="183"/>
      <c r="B35" s="180"/>
      <c r="C35" s="184"/>
      <c r="D35" s="184"/>
      <c r="E35" s="184"/>
      <c r="F35" s="185"/>
      <c r="G35" s="186">
        <f>SUM(G10:G33)</f>
        <v>144300000</v>
      </c>
      <c r="H35" s="186"/>
      <c r="I35" s="186"/>
      <c r="J35" s="186"/>
      <c r="K35" s="186">
        <f t="shared" ref="K35:AH35" si="15">SUM(K10:K33)</f>
        <v>144300000</v>
      </c>
      <c r="L35" s="186">
        <f t="shared" si="15"/>
        <v>185540573</v>
      </c>
      <c r="M35" s="186">
        <f t="shared" si="15"/>
        <v>329840573</v>
      </c>
      <c r="N35" s="186">
        <f t="shared" si="15"/>
        <v>138609880</v>
      </c>
      <c r="O35" s="186">
        <f t="shared" si="15"/>
        <v>10500000</v>
      </c>
      <c r="P35" s="186">
        <f t="shared" si="15"/>
        <v>3452322</v>
      </c>
      <c r="Q35" s="186">
        <f t="shared" si="15"/>
        <v>482402775</v>
      </c>
      <c r="R35" s="186">
        <f t="shared" si="15"/>
        <v>9744000</v>
      </c>
      <c r="S35" s="186">
        <f t="shared" si="15"/>
        <v>1827000</v>
      </c>
      <c r="T35" s="186">
        <f t="shared" si="15"/>
        <v>1218000</v>
      </c>
      <c r="U35" s="186">
        <f t="shared" si="15"/>
        <v>12789000</v>
      </c>
      <c r="V35" s="186">
        <f t="shared" si="15"/>
        <v>2</v>
      </c>
      <c r="W35" s="186">
        <f t="shared" si="15"/>
        <v>8800000</v>
      </c>
      <c r="X35" s="186">
        <f t="shared" si="15"/>
        <v>220000000</v>
      </c>
      <c r="Y35" s="186">
        <f t="shared" si="15"/>
        <v>228800000</v>
      </c>
      <c r="Z35" s="186">
        <f t="shared" si="15"/>
        <v>262098138</v>
      </c>
      <c r="AA35" s="186">
        <f t="shared" si="15"/>
        <v>44979393.199999996</v>
      </c>
      <c r="AB35" s="348">
        <f t="shared" si="15"/>
        <v>2000000</v>
      </c>
      <c r="AC35" s="186">
        <f t="shared" si="15"/>
        <v>0</v>
      </c>
      <c r="AD35" s="186">
        <f t="shared" si="15"/>
        <v>429309381.79999995</v>
      </c>
      <c r="AE35" s="186">
        <f t="shared" si="15"/>
        <v>28623000</v>
      </c>
      <c r="AF35" s="186">
        <f t="shared" si="15"/>
        <v>41411999.999999993</v>
      </c>
      <c r="AG35" s="186">
        <f t="shared" si="15"/>
        <v>30011348.5</v>
      </c>
      <c r="AH35" s="186">
        <f t="shared" si="15"/>
        <v>44979393.199999996</v>
      </c>
      <c r="AI35" s="153"/>
      <c r="AJ35" s="187"/>
      <c r="AK35" s="187"/>
      <c r="AL35" s="153"/>
      <c r="AM35" s="153"/>
      <c r="AN35" s="153"/>
      <c r="AO35" s="153"/>
      <c r="AP35" s="153"/>
    </row>
    <row r="36" spans="1:42" s="176" customFormat="1">
      <c r="C36" s="189"/>
      <c r="D36" s="189"/>
      <c r="E36" s="134"/>
      <c r="F36" s="134"/>
      <c r="H36" s="190"/>
      <c r="I36" s="190"/>
      <c r="J36" s="190"/>
      <c r="K36" s="191"/>
      <c r="L36" s="191"/>
      <c r="M36" s="192"/>
      <c r="N36" s="193"/>
      <c r="O36" s="193"/>
      <c r="Q36" s="191"/>
      <c r="R36" s="194"/>
      <c r="S36" s="194"/>
      <c r="T36" s="194"/>
      <c r="U36" s="195"/>
      <c r="V36" s="196"/>
      <c r="W36" s="195"/>
      <c r="X36" s="195"/>
      <c r="Y36" s="195"/>
      <c r="Z36" s="195"/>
      <c r="AA36" s="195"/>
      <c r="AB36" s="197"/>
      <c r="AC36" s="198"/>
      <c r="AD36" s="199"/>
      <c r="AF36" s="194"/>
      <c r="AG36" s="199"/>
      <c r="AH36" s="199"/>
      <c r="AI36" s="134"/>
      <c r="AJ36" s="134"/>
      <c r="AK36" s="134"/>
      <c r="AL36" s="134"/>
      <c r="AM36" s="134"/>
      <c r="AN36" s="134"/>
      <c r="AO36" s="134"/>
      <c r="AP36" s="134"/>
    </row>
    <row r="37" spans="1:42">
      <c r="E37" s="6"/>
      <c r="F37" s="212"/>
      <c r="G37" s="212"/>
      <c r="H37" s="212"/>
      <c r="I37" s="169"/>
      <c r="J37" s="169"/>
      <c r="R37" s="200"/>
      <c r="S37" s="200"/>
      <c r="T37" s="200"/>
      <c r="U37" s="200"/>
      <c r="V37" s="200"/>
      <c r="W37" s="200"/>
      <c r="X37" s="200"/>
      <c r="Y37" s="200"/>
      <c r="Z37" s="203"/>
      <c r="AA37" s="169"/>
      <c r="AB37" s="204"/>
      <c r="AC37" s="131" t="s">
        <v>423</v>
      </c>
      <c r="AD37" s="205">
        <f>AD35</f>
        <v>429309381.79999995</v>
      </c>
      <c r="AG37" s="302">
        <f>AD35+AF35+AG35</f>
        <v>500732730.29999995</v>
      </c>
      <c r="AH37" s="303">
        <f>AG37/Q35</f>
        <v>1.0379972011976921</v>
      </c>
    </row>
    <row r="38" spans="1:42">
      <c r="C38" s="207"/>
      <c r="D38" s="207"/>
      <c r="E38" s="6"/>
      <c r="F38" s="212"/>
      <c r="G38" s="212"/>
      <c r="H38" s="212"/>
      <c r="I38" s="169"/>
      <c r="J38" s="169"/>
      <c r="K38" s="169"/>
      <c r="L38" s="169"/>
      <c r="M38" s="208"/>
      <c r="R38" s="200"/>
      <c r="S38" s="200"/>
      <c r="T38" s="200"/>
      <c r="U38" s="200"/>
      <c r="V38" s="200"/>
      <c r="W38" s="200"/>
      <c r="X38" s="200"/>
      <c r="Y38" s="200"/>
      <c r="Z38" s="203"/>
      <c r="AA38" s="169"/>
      <c r="AB38" s="209" t="s">
        <v>100</v>
      </c>
      <c r="AC38" s="210" t="s">
        <v>87</v>
      </c>
      <c r="AD38" s="206">
        <f>AD10+AD12</f>
        <v>67800000</v>
      </c>
    </row>
    <row r="39" spans="1:42" ht="14.4">
      <c r="C39" s="207"/>
      <c r="D39" s="207"/>
      <c r="E39" s="7"/>
      <c r="F39" s="212"/>
      <c r="G39" s="212"/>
      <c r="H39" s="212"/>
      <c r="I39" s="169"/>
      <c r="J39" s="169"/>
      <c r="K39" s="169"/>
      <c r="L39" s="169"/>
      <c r="M39" s="208"/>
      <c r="R39" s="200"/>
      <c r="S39" s="200"/>
      <c r="T39" s="200"/>
      <c r="U39" s="200"/>
      <c r="V39" s="200"/>
      <c r="W39" s="200"/>
      <c r="X39" s="200"/>
      <c r="Y39" s="200"/>
      <c r="Z39" s="203"/>
      <c r="AA39" s="169"/>
      <c r="AB39" s="98"/>
      <c r="AC39" s="210" t="s">
        <v>87</v>
      </c>
      <c r="AD39" s="206"/>
      <c r="AI39" s="219"/>
    </row>
    <row r="40" spans="1:42">
      <c r="C40" s="207"/>
      <c r="D40" s="207"/>
      <c r="E40" s="211"/>
      <c r="F40" s="212"/>
      <c r="G40" s="212"/>
      <c r="H40" s="212"/>
      <c r="I40" s="169"/>
      <c r="J40" s="212"/>
      <c r="K40" s="212"/>
      <c r="L40" s="212"/>
      <c r="M40" s="213"/>
      <c r="N40" s="213"/>
      <c r="O40" s="213"/>
      <c r="R40" s="200"/>
      <c r="S40" s="200"/>
      <c r="T40" s="200"/>
      <c r="U40" s="200"/>
      <c r="V40" s="200"/>
      <c r="W40" s="200"/>
      <c r="X40" s="200"/>
      <c r="Y40" s="200"/>
      <c r="Z40" s="203"/>
      <c r="AA40" s="169"/>
      <c r="AB40" s="98"/>
      <c r="AC40" s="210" t="s">
        <v>87</v>
      </c>
      <c r="AD40" s="206"/>
      <c r="AE40" s="241"/>
    </row>
    <row r="41" spans="1:42">
      <c r="C41" s="207"/>
      <c r="D41" s="207"/>
      <c r="E41" s="211"/>
      <c r="F41" s="212"/>
      <c r="G41" s="212"/>
      <c r="H41" s="212"/>
      <c r="I41" s="169"/>
      <c r="J41" s="212"/>
      <c r="K41" s="212"/>
      <c r="L41" s="212"/>
      <c r="M41" s="213"/>
      <c r="N41" s="213"/>
      <c r="O41" s="213"/>
      <c r="R41" s="169"/>
      <c r="S41" s="169"/>
      <c r="T41" s="169"/>
      <c r="U41" s="169"/>
      <c r="V41" s="169"/>
      <c r="W41" s="169"/>
      <c r="X41" s="169"/>
      <c r="Y41" s="169"/>
      <c r="Z41" s="214"/>
      <c r="AA41" s="169"/>
      <c r="AB41" s="209"/>
      <c r="AC41" s="215" t="s">
        <v>104</v>
      </c>
      <c r="AD41" s="205">
        <f>AD37-SUM(AD38:AD40)</f>
        <v>361509381.79999995</v>
      </c>
    </row>
    <row r="42" spans="1:42">
      <c r="C42" s="207"/>
      <c r="D42" s="207"/>
      <c r="E42" s="211"/>
      <c r="F42" s="212"/>
      <c r="G42" s="212"/>
      <c r="H42" s="212"/>
      <c r="I42" s="169"/>
      <c r="J42" s="212"/>
      <c r="K42" s="212"/>
      <c r="L42" s="212"/>
      <c r="M42" s="213"/>
      <c r="AC42" s="217"/>
    </row>
    <row r="43" spans="1:42">
      <c r="C43" s="207"/>
      <c r="D43" s="207"/>
      <c r="E43" s="211"/>
      <c r="F43" s="212"/>
      <c r="G43" s="212"/>
      <c r="H43" s="212"/>
      <c r="I43" s="169"/>
      <c r="J43" s="212"/>
      <c r="K43" s="212"/>
      <c r="L43" s="212"/>
      <c r="M43" s="213"/>
    </row>
    <row r="44" spans="1:42">
      <c r="C44" s="207"/>
      <c r="D44" s="207"/>
      <c r="E44" s="207"/>
      <c r="F44" s="207"/>
      <c r="G44" s="169"/>
      <c r="H44" s="169"/>
      <c r="I44" s="169"/>
      <c r="J44" s="212"/>
      <c r="K44" s="212"/>
      <c r="L44" s="212"/>
      <c r="M44" s="213"/>
      <c r="AD44" s="301"/>
    </row>
    <row r="45" spans="1:42">
      <c r="C45" s="207"/>
      <c r="D45" s="207"/>
      <c r="E45" s="207"/>
      <c r="F45" s="207"/>
      <c r="G45" s="169"/>
      <c r="H45" s="169"/>
      <c r="I45" s="169"/>
      <c r="J45" s="169"/>
      <c r="K45" s="218"/>
      <c r="L45" s="218"/>
      <c r="M45" s="208"/>
    </row>
    <row r="46" spans="1:42">
      <c r="C46" s="207"/>
      <c r="D46" s="207"/>
      <c r="E46" s="207"/>
      <c r="F46" s="207"/>
      <c r="G46" s="169"/>
      <c r="H46" s="169"/>
      <c r="I46" s="169"/>
      <c r="J46" s="169"/>
      <c r="K46" s="218"/>
      <c r="L46" s="218"/>
      <c r="M46" s="208"/>
    </row>
    <row r="47" spans="1:42">
      <c r="C47" s="207"/>
      <c r="D47" s="207"/>
      <c r="E47" s="207"/>
      <c r="F47" s="207"/>
      <c r="G47" s="169"/>
      <c r="H47" s="169"/>
      <c r="I47" s="169"/>
      <c r="J47" s="169"/>
      <c r="K47" s="218"/>
      <c r="L47" s="218"/>
      <c r="M47" s="208"/>
    </row>
    <row r="48" spans="1:42">
      <c r="C48" s="207"/>
      <c r="D48" s="207"/>
      <c r="E48" s="207"/>
      <c r="F48" s="207"/>
      <c r="G48" s="169"/>
      <c r="H48" s="169"/>
      <c r="I48" s="169"/>
      <c r="J48" s="169"/>
      <c r="K48" s="218"/>
      <c r="L48" s="218"/>
      <c r="M48" s="208"/>
    </row>
    <row r="49" spans="1:46">
      <c r="C49" s="207"/>
      <c r="D49" s="207"/>
      <c r="E49" s="207"/>
      <c r="F49" s="207"/>
      <c r="G49" s="169"/>
      <c r="H49" s="169"/>
      <c r="I49" s="169"/>
      <c r="J49" s="169"/>
      <c r="K49" s="218"/>
      <c r="L49" s="218"/>
      <c r="M49" s="208"/>
    </row>
    <row r="50" spans="1:46">
      <c r="C50" s="207"/>
      <c r="D50" s="207"/>
      <c r="E50" s="207"/>
      <c r="F50" s="207"/>
      <c r="G50" s="169"/>
      <c r="H50" s="169"/>
      <c r="I50" s="169"/>
      <c r="J50" s="169"/>
      <c r="K50" s="218"/>
      <c r="L50" s="218"/>
      <c r="M50" s="208"/>
    </row>
    <row r="51" spans="1:46">
      <c r="C51" s="207"/>
      <c r="D51" s="207"/>
      <c r="E51" s="207"/>
      <c r="F51" s="207"/>
      <c r="G51" s="169"/>
      <c r="H51" s="169"/>
      <c r="I51" s="169"/>
      <c r="J51" s="169"/>
      <c r="K51" s="218"/>
      <c r="L51" s="218"/>
      <c r="M51" s="208"/>
    </row>
    <row r="52" spans="1:46" s="202" customFormat="1">
      <c r="A52" s="132"/>
      <c r="B52" s="176"/>
      <c r="C52" s="207"/>
      <c r="D52" s="207"/>
      <c r="E52" s="207"/>
      <c r="F52" s="207"/>
      <c r="G52" s="169"/>
      <c r="H52" s="169"/>
      <c r="I52" s="169"/>
      <c r="J52" s="169"/>
      <c r="K52" s="218"/>
      <c r="L52" s="218"/>
      <c r="M52" s="208"/>
      <c r="P52" s="132"/>
      <c r="Q52" s="188"/>
      <c r="R52" s="132"/>
      <c r="S52" s="132"/>
      <c r="T52" s="132"/>
      <c r="U52" s="132"/>
      <c r="V52" s="132"/>
      <c r="W52" s="132"/>
      <c r="X52" s="132"/>
      <c r="Y52" s="132"/>
      <c r="Z52" s="216"/>
      <c r="AA52" s="132"/>
      <c r="AD52" s="132"/>
      <c r="AE52" s="132"/>
      <c r="AF52" s="132"/>
      <c r="AG52" s="132"/>
      <c r="AH52" s="132"/>
      <c r="AI52" s="134"/>
      <c r="AJ52" s="133"/>
      <c r="AK52" s="133"/>
      <c r="AL52" s="134"/>
      <c r="AM52" s="134"/>
      <c r="AN52" s="134"/>
      <c r="AO52" s="134"/>
      <c r="AP52" s="134"/>
      <c r="AQ52" s="132"/>
      <c r="AR52" s="132"/>
      <c r="AS52" s="132"/>
      <c r="AT52" s="132"/>
    </row>
    <row r="53" spans="1:46" s="202" customFormat="1">
      <c r="A53" s="132"/>
      <c r="B53" s="176"/>
      <c r="C53" s="207"/>
      <c r="D53" s="207"/>
      <c r="E53" s="207"/>
      <c r="F53" s="207"/>
      <c r="G53" s="169"/>
      <c r="H53" s="169"/>
      <c r="I53" s="169"/>
      <c r="J53" s="169"/>
      <c r="K53" s="218"/>
      <c r="L53" s="218"/>
      <c r="M53" s="208"/>
      <c r="P53" s="132"/>
      <c r="Q53" s="188"/>
      <c r="R53" s="132"/>
      <c r="S53" s="132"/>
      <c r="T53" s="132"/>
      <c r="U53" s="132"/>
      <c r="V53" s="132"/>
      <c r="W53" s="132"/>
      <c r="X53" s="132"/>
      <c r="Y53" s="132"/>
      <c r="Z53" s="216"/>
      <c r="AA53" s="132"/>
      <c r="AD53" s="132"/>
      <c r="AE53" s="132"/>
      <c r="AF53" s="132"/>
      <c r="AG53" s="132"/>
      <c r="AH53" s="132"/>
      <c r="AI53" s="134"/>
      <c r="AJ53" s="133"/>
      <c r="AK53" s="133"/>
      <c r="AL53" s="134"/>
      <c r="AM53" s="134"/>
      <c r="AN53" s="134"/>
      <c r="AO53" s="134"/>
      <c r="AP53" s="134"/>
      <c r="AQ53" s="132"/>
      <c r="AR53" s="132"/>
      <c r="AS53" s="132"/>
      <c r="AT53" s="132"/>
    </row>
    <row r="54" spans="1:46" s="202" customFormat="1">
      <c r="A54" s="132"/>
      <c r="B54" s="176"/>
      <c r="C54" s="207"/>
      <c r="D54" s="207"/>
      <c r="E54" s="207"/>
      <c r="F54" s="207"/>
      <c r="G54" s="169"/>
      <c r="H54" s="169"/>
      <c r="I54" s="169"/>
      <c r="J54" s="169"/>
      <c r="K54" s="218"/>
      <c r="L54" s="218"/>
      <c r="M54" s="208"/>
      <c r="P54" s="132"/>
      <c r="Q54" s="188"/>
      <c r="R54" s="132"/>
      <c r="S54" s="132"/>
      <c r="T54" s="132"/>
      <c r="U54" s="132"/>
      <c r="V54" s="132"/>
      <c r="W54" s="132"/>
      <c r="X54" s="132"/>
      <c r="Y54" s="132"/>
      <c r="Z54" s="216"/>
      <c r="AA54" s="132"/>
      <c r="AD54" s="132"/>
      <c r="AE54" s="132"/>
      <c r="AF54" s="132"/>
      <c r="AG54" s="132"/>
      <c r="AH54" s="132"/>
      <c r="AI54" s="134"/>
      <c r="AJ54" s="133"/>
      <c r="AK54" s="133"/>
      <c r="AL54" s="134"/>
      <c r="AM54" s="134"/>
      <c r="AN54" s="134"/>
      <c r="AO54" s="134"/>
      <c r="AP54" s="134"/>
      <c r="AQ54" s="132"/>
      <c r="AR54" s="132"/>
      <c r="AS54" s="132"/>
      <c r="AT54" s="132"/>
    </row>
    <row r="55" spans="1:46" s="202" customFormat="1">
      <c r="A55" s="132"/>
      <c r="B55" s="176"/>
      <c r="C55" s="207"/>
      <c r="D55" s="207"/>
      <c r="E55" s="207"/>
      <c r="F55" s="207"/>
      <c r="G55" s="169"/>
      <c r="H55" s="169"/>
      <c r="I55" s="169"/>
      <c r="J55" s="169"/>
      <c r="K55" s="218"/>
      <c r="L55" s="218"/>
      <c r="M55" s="208"/>
      <c r="P55" s="132"/>
      <c r="Q55" s="188"/>
      <c r="R55" s="132"/>
      <c r="S55" s="132"/>
      <c r="T55" s="132"/>
      <c r="U55" s="132"/>
      <c r="V55" s="132"/>
      <c r="W55" s="132"/>
      <c r="X55" s="132"/>
      <c r="Y55" s="132"/>
      <c r="Z55" s="216"/>
      <c r="AA55" s="132"/>
      <c r="AD55" s="132"/>
      <c r="AE55" s="132"/>
      <c r="AF55" s="132"/>
      <c r="AG55" s="132"/>
      <c r="AH55" s="132"/>
      <c r="AI55" s="134"/>
      <c r="AJ55" s="133"/>
      <c r="AK55" s="133"/>
      <c r="AL55" s="134"/>
      <c r="AM55" s="134"/>
      <c r="AN55" s="134"/>
      <c r="AO55" s="134"/>
      <c r="AP55" s="134"/>
      <c r="AQ55" s="132"/>
      <c r="AR55" s="132"/>
      <c r="AS55" s="132"/>
      <c r="AT55" s="132"/>
    </row>
    <row r="56" spans="1:46" s="202" customFormat="1">
      <c r="A56" s="132"/>
      <c r="B56" s="176"/>
      <c r="C56" s="207"/>
      <c r="D56" s="207"/>
      <c r="E56" s="207"/>
      <c r="F56" s="207"/>
      <c r="G56" s="169"/>
      <c r="H56" s="169"/>
      <c r="I56" s="169"/>
      <c r="J56" s="169"/>
      <c r="K56" s="218"/>
      <c r="L56" s="218"/>
      <c r="M56" s="208"/>
      <c r="P56" s="132"/>
      <c r="Q56" s="188"/>
      <c r="R56" s="132"/>
      <c r="S56" s="132"/>
      <c r="T56" s="132"/>
      <c r="U56" s="132"/>
      <c r="V56" s="132"/>
      <c r="W56" s="132"/>
      <c r="X56" s="132"/>
      <c r="Y56" s="132"/>
      <c r="Z56" s="216"/>
      <c r="AA56" s="132"/>
      <c r="AD56" s="132"/>
      <c r="AE56" s="132"/>
      <c r="AF56" s="132"/>
      <c r="AG56" s="132"/>
      <c r="AH56" s="132"/>
      <c r="AI56" s="134"/>
      <c r="AJ56" s="133"/>
      <c r="AK56" s="133"/>
      <c r="AL56" s="134"/>
      <c r="AM56" s="134"/>
      <c r="AN56" s="134"/>
      <c r="AO56" s="134"/>
      <c r="AP56" s="134"/>
      <c r="AQ56" s="132"/>
      <c r="AR56" s="132"/>
      <c r="AS56" s="132"/>
      <c r="AT56" s="132"/>
    </row>
    <row r="57" spans="1:46" s="202" customFormat="1">
      <c r="A57" s="132"/>
      <c r="B57" s="176"/>
      <c r="C57" s="207"/>
      <c r="D57" s="207"/>
      <c r="E57" s="207"/>
      <c r="F57" s="207"/>
      <c r="G57" s="169"/>
      <c r="H57" s="169"/>
      <c r="I57" s="169"/>
      <c r="J57" s="169"/>
      <c r="K57" s="218"/>
      <c r="L57" s="218"/>
      <c r="M57" s="208"/>
      <c r="P57" s="132"/>
      <c r="Q57" s="188"/>
      <c r="R57" s="132"/>
      <c r="S57" s="132"/>
      <c r="T57" s="132"/>
      <c r="U57" s="132"/>
      <c r="V57" s="132"/>
      <c r="W57" s="132"/>
      <c r="X57" s="132"/>
      <c r="Y57" s="132"/>
      <c r="Z57" s="216"/>
      <c r="AA57" s="132"/>
      <c r="AD57" s="132"/>
      <c r="AE57" s="132"/>
      <c r="AF57" s="132"/>
      <c r="AG57" s="132"/>
      <c r="AH57" s="132"/>
      <c r="AI57" s="134"/>
      <c r="AJ57" s="133"/>
      <c r="AK57" s="133"/>
      <c r="AL57" s="134"/>
      <c r="AM57" s="134"/>
      <c r="AN57" s="134"/>
      <c r="AO57" s="134"/>
      <c r="AP57" s="134"/>
      <c r="AQ57" s="132"/>
      <c r="AR57" s="132"/>
      <c r="AS57" s="132"/>
      <c r="AT57" s="132"/>
    </row>
    <row r="58" spans="1:46" s="202" customFormat="1">
      <c r="A58" s="132"/>
      <c r="B58" s="176"/>
      <c r="C58" s="207"/>
      <c r="D58" s="207"/>
      <c r="E58" s="207"/>
      <c r="F58" s="207"/>
      <c r="G58" s="169"/>
      <c r="H58" s="169"/>
      <c r="I58" s="169"/>
      <c r="J58" s="169"/>
      <c r="K58" s="218"/>
      <c r="L58" s="218"/>
      <c r="M58" s="208"/>
      <c r="P58" s="132"/>
      <c r="Q58" s="188"/>
      <c r="R58" s="132"/>
      <c r="S58" s="132"/>
      <c r="T58" s="132"/>
      <c r="U58" s="132"/>
      <c r="V58" s="132"/>
      <c r="W58" s="132"/>
      <c r="X58" s="132"/>
      <c r="Y58" s="132"/>
      <c r="Z58" s="216"/>
      <c r="AA58" s="132"/>
      <c r="AD58" s="132"/>
      <c r="AE58" s="132"/>
      <c r="AF58" s="132"/>
      <c r="AG58" s="132"/>
      <c r="AH58" s="132"/>
      <c r="AI58" s="134"/>
      <c r="AJ58" s="133"/>
      <c r="AK58" s="133"/>
      <c r="AL58" s="134"/>
      <c r="AM58" s="134"/>
      <c r="AN58" s="134"/>
      <c r="AO58" s="134"/>
      <c r="AP58" s="134"/>
      <c r="AQ58" s="132"/>
      <c r="AR58" s="132"/>
      <c r="AS58" s="132"/>
      <c r="AT58" s="132"/>
    </row>
    <row r="59" spans="1:46" s="202" customFormat="1">
      <c r="A59" s="132"/>
      <c r="B59" s="176"/>
      <c r="C59" s="207"/>
      <c r="D59" s="207"/>
      <c r="E59" s="207"/>
      <c r="F59" s="207"/>
      <c r="G59" s="169"/>
      <c r="H59" s="169"/>
      <c r="I59" s="169"/>
      <c r="J59" s="169"/>
      <c r="K59" s="218"/>
      <c r="L59" s="218"/>
      <c r="M59" s="208"/>
      <c r="P59" s="132"/>
      <c r="Q59" s="188"/>
      <c r="R59" s="132"/>
      <c r="S59" s="132"/>
      <c r="T59" s="132"/>
      <c r="U59" s="132"/>
      <c r="V59" s="132"/>
      <c r="W59" s="132"/>
      <c r="X59" s="132"/>
      <c r="Y59" s="132"/>
      <c r="Z59" s="216"/>
      <c r="AA59" s="132"/>
      <c r="AD59" s="132"/>
      <c r="AE59" s="132"/>
      <c r="AF59" s="132"/>
      <c r="AG59" s="132"/>
      <c r="AH59" s="132"/>
      <c r="AI59" s="134"/>
      <c r="AJ59" s="133"/>
      <c r="AK59" s="133"/>
      <c r="AL59" s="134"/>
      <c r="AM59" s="134"/>
      <c r="AN59" s="134"/>
      <c r="AO59" s="134"/>
      <c r="AP59" s="134"/>
      <c r="AQ59" s="132"/>
      <c r="AR59" s="132"/>
      <c r="AS59" s="132"/>
      <c r="AT59" s="132"/>
    </row>
    <row r="60" spans="1:46" s="202" customFormat="1">
      <c r="A60" s="132"/>
      <c r="B60" s="176"/>
      <c r="C60" s="207"/>
      <c r="D60" s="207"/>
      <c r="E60" s="207"/>
      <c r="F60" s="207"/>
      <c r="G60" s="169"/>
      <c r="H60" s="169"/>
      <c r="I60" s="169"/>
      <c r="J60" s="169"/>
      <c r="K60" s="218"/>
      <c r="L60" s="218"/>
      <c r="M60" s="208"/>
      <c r="P60" s="132"/>
      <c r="Q60" s="188"/>
      <c r="R60" s="132"/>
      <c r="S60" s="132"/>
      <c r="T60" s="132"/>
      <c r="U60" s="132"/>
      <c r="V60" s="132"/>
      <c r="W60" s="132"/>
      <c r="X60" s="132"/>
      <c r="Y60" s="132"/>
      <c r="Z60" s="216"/>
      <c r="AA60" s="132"/>
      <c r="AD60" s="132"/>
      <c r="AE60" s="132"/>
      <c r="AF60" s="132"/>
      <c r="AG60" s="132"/>
      <c r="AH60" s="132"/>
      <c r="AI60" s="134"/>
      <c r="AJ60" s="133"/>
      <c r="AK60" s="133"/>
      <c r="AL60" s="134"/>
      <c r="AM60" s="134"/>
      <c r="AN60" s="134"/>
      <c r="AO60" s="134"/>
      <c r="AP60" s="134"/>
      <c r="AQ60" s="132"/>
      <c r="AR60" s="132"/>
      <c r="AS60" s="132"/>
      <c r="AT60" s="132"/>
    </row>
    <row r="61" spans="1:46" s="202" customFormat="1">
      <c r="A61" s="132"/>
      <c r="B61" s="176"/>
      <c r="C61" s="207"/>
      <c r="D61" s="207"/>
      <c r="E61" s="207"/>
      <c r="F61" s="207"/>
      <c r="G61" s="169"/>
      <c r="H61" s="169"/>
      <c r="I61" s="169"/>
      <c r="J61" s="169"/>
      <c r="K61" s="218"/>
      <c r="L61" s="218"/>
      <c r="M61" s="208"/>
      <c r="P61" s="132"/>
      <c r="Q61" s="188"/>
      <c r="R61" s="132"/>
      <c r="S61" s="132"/>
      <c r="T61" s="132"/>
      <c r="U61" s="132"/>
      <c r="V61" s="132"/>
      <c r="W61" s="132"/>
      <c r="X61" s="132"/>
      <c r="Y61" s="132"/>
      <c r="Z61" s="216"/>
      <c r="AA61" s="132"/>
      <c r="AD61" s="132"/>
      <c r="AE61" s="132"/>
      <c r="AF61" s="132"/>
      <c r="AG61" s="132"/>
      <c r="AH61" s="132"/>
      <c r="AI61" s="134"/>
      <c r="AJ61" s="133"/>
      <c r="AK61" s="133"/>
      <c r="AL61" s="134"/>
      <c r="AM61" s="134"/>
      <c r="AN61" s="134"/>
      <c r="AO61" s="134"/>
      <c r="AP61" s="134"/>
      <c r="AQ61" s="132"/>
      <c r="AR61" s="132"/>
      <c r="AS61" s="132"/>
      <c r="AT61" s="132"/>
    </row>
    <row r="62" spans="1:46" s="202" customFormat="1">
      <c r="A62" s="132"/>
      <c r="B62" s="176"/>
      <c r="C62" s="207"/>
      <c r="D62" s="207"/>
      <c r="E62" s="207"/>
      <c r="F62" s="207"/>
      <c r="G62" s="169"/>
      <c r="H62" s="169"/>
      <c r="I62" s="169"/>
      <c r="J62" s="169"/>
      <c r="K62" s="218"/>
      <c r="L62" s="218"/>
      <c r="M62" s="208"/>
      <c r="P62" s="132"/>
      <c r="Q62" s="188"/>
      <c r="R62" s="132"/>
      <c r="S62" s="132"/>
      <c r="T62" s="132"/>
      <c r="U62" s="132"/>
      <c r="V62" s="132"/>
      <c r="W62" s="132"/>
      <c r="X62" s="132"/>
      <c r="Y62" s="132"/>
      <c r="Z62" s="216"/>
      <c r="AA62" s="132"/>
      <c r="AD62" s="132"/>
      <c r="AE62" s="132"/>
      <c r="AF62" s="132"/>
      <c r="AG62" s="132"/>
      <c r="AH62" s="132"/>
      <c r="AI62" s="134"/>
      <c r="AJ62" s="133"/>
      <c r="AK62" s="133"/>
      <c r="AL62" s="134"/>
      <c r="AM62" s="134"/>
      <c r="AN62" s="134"/>
      <c r="AO62" s="134"/>
      <c r="AP62" s="134"/>
      <c r="AQ62" s="132"/>
      <c r="AR62" s="132"/>
      <c r="AS62" s="132"/>
      <c r="AT62" s="132"/>
    </row>
    <row r="63" spans="1:46" s="202" customFormat="1">
      <c r="A63" s="132"/>
      <c r="B63" s="176"/>
      <c r="C63" s="207"/>
      <c r="D63" s="207"/>
      <c r="E63" s="207"/>
      <c r="F63" s="207"/>
      <c r="G63" s="169"/>
      <c r="H63" s="169"/>
      <c r="I63" s="169"/>
      <c r="J63" s="169"/>
      <c r="K63" s="218"/>
      <c r="L63" s="218"/>
      <c r="M63" s="208"/>
      <c r="P63" s="132"/>
      <c r="Q63" s="188"/>
      <c r="R63" s="132"/>
      <c r="S63" s="132"/>
      <c r="T63" s="132"/>
      <c r="U63" s="132"/>
      <c r="V63" s="132"/>
      <c r="W63" s="132"/>
      <c r="X63" s="132"/>
      <c r="Y63" s="132"/>
      <c r="Z63" s="216"/>
      <c r="AA63" s="132"/>
      <c r="AD63" s="132"/>
      <c r="AE63" s="132"/>
      <c r="AF63" s="132"/>
      <c r="AG63" s="132"/>
      <c r="AH63" s="132"/>
      <c r="AI63" s="134"/>
      <c r="AJ63" s="133"/>
      <c r="AK63" s="133"/>
      <c r="AL63" s="134"/>
      <c r="AM63" s="134"/>
      <c r="AN63" s="134"/>
      <c r="AO63" s="134"/>
      <c r="AP63" s="134"/>
      <c r="AQ63" s="132"/>
      <c r="AR63" s="132"/>
      <c r="AS63" s="132"/>
      <c r="AT63" s="132"/>
    </row>
    <row r="64" spans="1:46" s="202" customFormat="1">
      <c r="A64" s="132"/>
      <c r="B64" s="176"/>
      <c r="C64" s="207"/>
      <c r="D64" s="207"/>
      <c r="E64" s="207"/>
      <c r="F64" s="207"/>
      <c r="G64" s="169"/>
      <c r="H64" s="169"/>
      <c r="I64" s="169"/>
      <c r="J64" s="169"/>
      <c r="K64" s="218"/>
      <c r="L64" s="218"/>
      <c r="M64" s="208"/>
      <c r="P64" s="132"/>
      <c r="Q64" s="188"/>
      <c r="R64" s="132"/>
      <c r="S64" s="132"/>
      <c r="T64" s="132"/>
      <c r="U64" s="132"/>
      <c r="V64" s="132"/>
      <c r="W64" s="132"/>
      <c r="X64" s="132"/>
      <c r="Y64" s="132"/>
      <c r="Z64" s="216"/>
      <c r="AA64" s="132"/>
      <c r="AD64" s="132"/>
      <c r="AE64" s="132"/>
      <c r="AF64" s="132"/>
      <c r="AG64" s="132"/>
      <c r="AH64" s="132"/>
      <c r="AI64" s="134"/>
      <c r="AJ64" s="133"/>
      <c r="AK64" s="133"/>
      <c r="AL64" s="134"/>
      <c r="AM64" s="134"/>
      <c r="AN64" s="134"/>
      <c r="AO64" s="134"/>
      <c r="AP64" s="134"/>
      <c r="AQ64" s="132"/>
      <c r="AR64" s="132"/>
      <c r="AS64" s="132"/>
      <c r="AT64" s="132"/>
    </row>
    <row r="65" spans="1:46" s="202" customFormat="1">
      <c r="A65" s="132"/>
      <c r="B65" s="176"/>
      <c r="C65" s="207"/>
      <c r="D65" s="207"/>
      <c r="E65" s="207"/>
      <c r="F65" s="207"/>
      <c r="G65" s="169"/>
      <c r="H65" s="169"/>
      <c r="I65" s="169"/>
      <c r="J65" s="169"/>
      <c r="K65" s="218"/>
      <c r="L65" s="218"/>
      <c r="M65" s="208"/>
      <c r="P65" s="132"/>
      <c r="Q65" s="188"/>
      <c r="R65" s="132"/>
      <c r="S65" s="132"/>
      <c r="T65" s="132"/>
      <c r="U65" s="132"/>
      <c r="V65" s="132"/>
      <c r="W65" s="132"/>
      <c r="X65" s="132"/>
      <c r="Y65" s="132"/>
      <c r="Z65" s="216"/>
      <c r="AA65" s="132"/>
      <c r="AD65" s="132"/>
      <c r="AE65" s="132"/>
      <c r="AF65" s="132"/>
      <c r="AG65" s="132"/>
      <c r="AH65" s="132"/>
      <c r="AI65" s="134"/>
      <c r="AJ65" s="133"/>
      <c r="AK65" s="133"/>
      <c r="AL65" s="134"/>
      <c r="AM65" s="134"/>
      <c r="AN65" s="134"/>
      <c r="AO65" s="134"/>
      <c r="AP65" s="134"/>
      <c r="AQ65" s="132"/>
      <c r="AR65" s="132"/>
      <c r="AS65" s="132"/>
      <c r="AT65" s="132"/>
    </row>
    <row r="66" spans="1:46" s="202" customFormat="1">
      <c r="A66" s="132"/>
      <c r="B66" s="176"/>
      <c r="C66" s="207"/>
      <c r="D66" s="207"/>
      <c r="E66" s="207"/>
      <c r="F66" s="207"/>
      <c r="G66" s="169"/>
      <c r="H66" s="169"/>
      <c r="I66" s="169"/>
      <c r="J66" s="169"/>
      <c r="K66" s="218"/>
      <c r="L66" s="218"/>
      <c r="M66" s="208"/>
      <c r="P66" s="132"/>
      <c r="Q66" s="188"/>
      <c r="R66" s="132"/>
      <c r="S66" s="132"/>
      <c r="T66" s="132"/>
      <c r="U66" s="132"/>
      <c r="V66" s="132"/>
      <c r="W66" s="132"/>
      <c r="X66" s="132"/>
      <c r="Y66" s="132"/>
      <c r="Z66" s="216"/>
      <c r="AA66" s="132"/>
      <c r="AD66" s="132"/>
      <c r="AE66" s="132"/>
      <c r="AF66" s="132"/>
      <c r="AG66" s="132"/>
      <c r="AH66" s="132"/>
      <c r="AI66" s="134"/>
      <c r="AJ66" s="133"/>
      <c r="AK66" s="133"/>
      <c r="AL66" s="134"/>
      <c r="AM66" s="134"/>
      <c r="AN66" s="134"/>
      <c r="AO66" s="134"/>
      <c r="AP66" s="134"/>
      <c r="AQ66" s="132"/>
      <c r="AR66" s="132"/>
      <c r="AS66" s="132"/>
      <c r="AT66" s="132"/>
    </row>
    <row r="67" spans="1:46" s="202" customFormat="1">
      <c r="A67" s="132"/>
      <c r="B67" s="176"/>
      <c r="C67" s="207"/>
      <c r="D67" s="207"/>
      <c r="E67" s="207"/>
      <c r="F67" s="207"/>
      <c r="G67" s="169"/>
      <c r="H67" s="169"/>
      <c r="I67" s="169"/>
      <c r="J67" s="169"/>
      <c r="K67" s="218"/>
      <c r="L67" s="218"/>
      <c r="M67" s="208"/>
      <c r="P67" s="132"/>
      <c r="Q67" s="188"/>
      <c r="R67" s="132"/>
      <c r="S67" s="132"/>
      <c r="T67" s="132"/>
      <c r="U67" s="132"/>
      <c r="V67" s="132"/>
      <c r="W67" s="132"/>
      <c r="X67" s="132"/>
      <c r="Y67" s="132"/>
      <c r="Z67" s="216"/>
      <c r="AA67" s="132"/>
      <c r="AD67" s="132"/>
      <c r="AE67" s="132"/>
      <c r="AF67" s="132"/>
      <c r="AG67" s="132"/>
      <c r="AH67" s="132"/>
      <c r="AI67" s="134"/>
      <c r="AJ67" s="133"/>
      <c r="AK67" s="133"/>
      <c r="AL67" s="134"/>
      <c r="AM67" s="134"/>
      <c r="AN67" s="134"/>
      <c r="AO67" s="134"/>
      <c r="AP67" s="134"/>
      <c r="AQ67" s="132"/>
      <c r="AR67" s="132"/>
      <c r="AS67" s="132"/>
      <c r="AT67" s="132"/>
    </row>
    <row r="68" spans="1:46" s="202" customFormat="1">
      <c r="A68" s="132"/>
      <c r="B68" s="176"/>
      <c r="C68" s="207"/>
      <c r="D68" s="207"/>
      <c r="E68" s="207"/>
      <c r="F68" s="207"/>
      <c r="G68" s="169"/>
      <c r="H68" s="169"/>
      <c r="I68" s="169"/>
      <c r="J68" s="169"/>
      <c r="K68" s="218"/>
      <c r="L68" s="218"/>
      <c r="M68" s="208"/>
      <c r="P68" s="132"/>
      <c r="Q68" s="188"/>
      <c r="R68" s="132"/>
      <c r="S68" s="132"/>
      <c r="T68" s="132"/>
      <c r="U68" s="132"/>
      <c r="V68" s="132"/>
      <c r="W68" s="132"/>
      <c r="X68" s="132"/>
      <c r="Y68" s="132"/>
      <c r="Z68" s="216"/>
      <c r="AA68" s="132"/>
      <c r="AD68" s="132"/>
      <c r="AE68" s="132"/>
      <c r="AF68" s="132"/>
      <c r="AG68" s="132"/>
      <c r="AH68" s="132"/>
      <c r="AI68" s="134"/>
      <c r="AJ68" s="133"/>
      <c r="AK68" s="133"/>
      <c r="AL68" s="134"/>
      <c r="AM68" s="134"/>
      <c r="AN68" s="134"/>
      <c r="AO68" s="134"/>
      <c r="AP68" s="134"/>
      <c r="AQ68" s="132"/>
      <c r="AR68" s="132"/>
      <c r="AS68" s="132"/>
      <c r="AT68" s="132"/>
    </row>
    <row r="69" spans="1:46" s="202" customFormat="1">
      <c r="A69" s="132"/>
      <c r="B69" s="176"/>
      <c r="C69" s="207"/>
      <c r="D69" s="207"/>
      <c r="E69" s="207"/>
      <c r="F69" s="207"/>
      <c r="G69" s="169"/>
      <c r="H69" s="169"/>
      <c r="I69" s="169"/>
      <c r="J69" s="169"/>
      <c r="K69" s="218"/>
      <c r="L69" s="218"/>
      <c r="M69" s="208"/>
      <c r="P69" s="132"/>
      <c r="Q69" s="188"/>
      <c r="R69" s="132"/>
      <c r="S69" s="132"/>
      <c r="T69" s="132"/>
      <c r="U69" s="132"/>
      <c r="V69" s="132"/>
      <c r="W69" s="132"/>
      <c r="X69" s="132"/>
      <c r="Y69" s="132"/>
      <c r="Z69" s="216"/>
      <c r="AA69" s="132"/>
      <c r="AD69" s="132"/>
      <c r="AE69" s="132"/>
      <c r="AF69" s="132"/>
      <c r="AG69" s="132"/>
      <c r="AH69" s="132"/>
      <c r="AI69" s="134"/>
      <c r="AJ69" s="133"/>
      <c r="AK69" s="133"/>
      <c r="AL69" s="134"/>
      <c r="AM69" s="134"/>
      <c r="AN69" s="134"/>
      <c r="AO69" s="134"/>
      <c r="AP69" s="134"/>
      <c r="AQ69" s="132"/>
      <c r="AR69" s="132"/>
      <c r="AS69" s="132"/>
      <c r="AT69" s="132"/>
    </row>
    <row r="70" spans="1:46" s="202" customFormat="1">
      <c r="A70" s="132"/>
      <c r="B70" s="176"/>
      <c r="C70" s="207"/>
      <c r="D70" s="207"/>
      <c r="E70" s="207"/>
      <c r="F70" s="207"/>
      <c r="G70" s="169"/>
      <c r="H70" s="169"/>
      <c r="I70" s="169"/>
      <c r="J70" s="169"/>
      <c r="K70" s="218"/>
      <c r="L70" s="218"/>
      <c r="M70" s="208"/>
      <c r="P70" s="132"/>
      <c r="Q70" s="188"/>
      <c r="R70" s="132"/>
      <c r="S70" s="132"/>
      <c r="T70" s="132"/>
      <c r="U70" s="132"/>
      <c r="V70" s="132"/>
      <c r="W70" s="132"/>
      <c r="X70" s="132"/>
      <c r="Y70" s="132"/>
      <c r="Z70" s="216"/>
      <c r="AA70" s="132"/>
      <c r="AD70" s="132"/>
      <c r="AE70" s="132"/>
      <c r="AF70" s="132"/>
      <c r="AG70" s="132"/>
      <c r="AH70" s="132"/>
      <c r="AI70" s="134"/>
      <c r="AJ70" s="133"/>
      <c r="AK70" s="133"/>
      <c r="AL70" s="134"/>
      <c r="AM70" s="134"/>
      <c r="AN70" s="134"/>
      <c r="AO70" s="134"/>
      <c r="AP70" s="134"/>
      <c r="AQ70" s="132"/>
      <c r="AR70" s="132"/>
      <c r="AS70" s="132"/>
      <c r="AT70" s="132"/>
    </row>
    <row r="71" spans="1:46" s="202" customFormat="1">
      <c r="A71" s="132"/>
      <c r="B71" s="176"/>
      <c r="C71" s="207"/>
      <c r="D71" s="207"/>
      <c r="E71" s="207"/>
      <c r="F71" s="207"/>
      <c r="G71" s="169"/>
      <c r="H71" s="169"/>
      <c r="I71" s="169"/>
      <c r="J71" s="169"/>
      <c r="K71" s="218"/>
      <c r="L71" s="218"/>
      <c r="M71" s="208"/>
      <c r="P71" s="132"/>
      <c r="Q71" s="188"/>
      <c r="R71" s="132"/>
      <c r="S71" s="132"/>
      <c r="T71" s="132"/>
      <c r="U71" s="132"/>
      <c r="V71" s="132"/>
      <c r="W71" s="132"/>
      <c r="X71" s="132"/>
      <c r="Y71" s="132"/>
      <c r="Z71" s="216"/>
      <c r="AA71" s="132"/>
      <c r="AD71" s="132"/>
      <c r="AE71" s="132"/>
      <c r="AF71" s="132"/>
      <c r="AG71" s="132"/>
      <c r="AH71" s="132"/>
      <c r="AI71" s="134"/>
      <c r="AJ71" s="133"/>
      <c r="AK71" s="133"/>
      <c r="AL71" s="134"/>
      <c r="AM71" s="134"/>
      <c r="AN71" s="134"/>
      <c r="AO71" s="134"/>
      <c r="AP71" s="134"/>
      <c r="AQ71" s="132"/>
      <c r="AR71" s="132"/>
      <c r="AS71" s="132"/>
      <c r="AT71" s="132"/>
    </row>
    <row r="72" spans="1:46" s="202" customFormat="1">
      <c r="A72" s="132"/>
      <c r="B72" s="176"/>
      <c r="C72" s="207"/>
      <c r="D72" s="207"/>
      <c r="E72" s="207"/>
      <c r="F72" s="207"/>
      <c r="G72" s="169"/>
      <c r="H72" s="169"/>
      <c r="I72" s="169"/>
      <c r="J72" s="169"/>
      <c r="K72" s="218"/>
      <c r="L72" s="218"/>
      <c r="M72" s="208"/>
      <c r="P72" s="132"/>
      <c r="Q72" s="188"/>
      <c r="R72" s="132"/>
      <c r="S72" s="132"/>
      <c r="T72" s="132"/>
      <c r="U72" s="132"/>
      <c r="V72" s="132"/>
      <c r="W72" s="132"/>
      <c r="X72" s="132"/>
      <c r="Y72" s="132"/>
      <c r="Z72" s="216"/>
      <c r="AA72" s="132"/>
      <c r="AD72" s="132"/>
      <c r="AE72" s="132"/>
      <c r="AF72" s="132"/>
      <c r="AG72" s="132"/>
      <c r="AH72" s="132"/>
      <c r="AI72" s="134"/>
      <c r="AJ72" s="133"/>
      <c r="AK72" s="133"/>
      <c r="AL72" s="134"/>
      <c r="AM72" s="134"/>
      <c r="AN72" s="134"/>
      <c r="AO72" s="134"/>
      <c r="AP72" s="134"/>
      <c r="AQ72" s="132"/>
      <c r="AR72" s="132"/>
      <c r="AS72" s="132"/>
      <c r="AT72" s="132"/>
    </row>
    <row r="73" spans="1:46" s="202" customFormat="1">
      <c r="A73" s="132"/>
      <c r="B73" s="176"/>
      <c r="C73" s="207"/>
      <c r="D73" s="207"/>
      <c r="E73" s="207"/>
      <c r="F73" s="207"/>
      <c r="G73" s="169"/>
      <c r="H73" s="169"/>
      <c r="I73" s="169"/>
      <c r="J73" s="169"/>
      <c r="K73" s="218"/>
      <c r="L73" s="218"/>
      <c r="M73" s="208"/>
      <c r="P73" s="132"/>
      <c r="Q73" s="188"/>
      <c r="R73" s="132"/>
      <c r="S73" s="132"/>
      <c r="T73" s="132"/>
      <c r="U73" s="132"/>
      <c r="V73" s="132"/>
      <c r="W73" s="132"/>
      <c r="X73" s="132"/>
      <c r="Y73" s="132"/>
      <c r="Z73" s="216"/>
      <c r="AA73" s="132"/>
      <c r="AD73" s="132"/>
      <c r="AE73" s="132"/>
      <c r="AF73" s="132"/>
      <c r="AG73" s="132"/>
      <c r="AH73" s="132"/>
      <c r="AI73" s="134"/>
      <c r="AJ73" s="133"/>
      <c r="AK73" s="133"/>
      <c r="AL73" s="134"/>
      <c r="AM73" s="134"/>
      <c r="AN73" s="134"/>
      <c r="AO73" s="134"/>
      <c r="AP73" s="134"/>
      <c r="AQ73" s="132"/>
      <c r="AR73" s="132"/>
      <c r="AS73" s="132"/>
      <c r="AT73" s="132"/>
    </row>
    <row r="74" spans="1:46" s="202" customFormat="1">
      <c r="A74" s="132"/>
      <c r="B74" s="176"/>
      <c r="C74" s="207"/>
      <c r="D74" s="207"/>
      <c r="E74" s="207"/>
      <c r="F74" s="207"/>
      <c r="G74" s="169"/>
      <c r="H74" s="169"/>
      <c r="I74" s="169"/>
      <c r="J74" s="169"/>
      <c r="K74" s="218"/>
      <c r="L74" s="218"/>
      <c r="M74" s="208"/>
      <c r="P74" s="132"/>
      <c r="Q74" s="188"/>
      <c r="R74" s="132"/>
      <c r="S74" s="132"/>
      <c r="T74" s="132"/>
      <c r="U74" s="132"/>
      <c r="V74" s="132"/>
      <c r="W74" s="132"/>
      <c r="X74" s="132"/>
      <c r="Y74" s="132"/>
      <c r="Z74" s="216"/>
      <c r="AA74" s="132"/>
      <c r="AD74" s="132"/>
      <c r="AE74" s="132"/>
      <c r="AF74" s="132"/>
      <c r="AG74" s="132"/>
      <c r="AH74" s="132"/>
      <c r="AI74" s="134"/>
      <c r="AJ74" s="133"/>
      <c r="AK74" s="133"/>
      <c r="AL74" s="134"/>
      <c r="AM74" s="134"/>
      <c r="AN74" s="134"/>
      <c r="AO74" s="134"/>
      <c r="AP74" s="134"/>
      <c r="AQ74" s="132"/>
      <c r="AR74" s="132"/>
      <c r="AS74" s="132"/>
      <c r="AT74" s="132"/>
    </row>
    <row r="75" spans="1:46" s="202" customFormat="1">
      <c r="A75" s="132"/>
      <c r="B75" s="176"/>
      <c r="C75" s="207"/>
      <c r="D75" s="207"/>
      <c r="E75" s="207"/>
      <c r="F75" s="207"/>
      <c r="G75" s="169"/>
      <c r="H75" s="169"/>
      <c r="I75" s="169"/>
      <c r="J75" s="169"/>
      <c r="K75" s="218"/>
      <c r="L75" s="218"/>
      <c r="M75" s="208"/>
      <c r="P75" s="132"/>
      <c r="Q75" s="188"/>
      <c r="R75" s="132"/>
      <c r="S75" s="132"/>
      <c r="T75" s="132"/>
      <c r="U75" s="132"/>
      <c r="V75" s="132"/>
      <c r="W75" s="132"/>
      <c r="X75" s="132"/>
      <c r="Y75" s="132"/>
      <c r="Z75" s="216"/>
      <c r="AA75" s="132"/>
      <c r="AD75" s="132"/>
      <c r="AE75" s="132"/>
      <c r="AF75" s="132"/>
      <c r="AG75" s="132"/>
      <c r="AH75" s="132"/>
      <c r="AI75" s="134"/>
      <c r="AJ75" s="133"/>
      <c r="AK75" s="133"/>
      <c r="AL75" s="134"/>
      <c r="AM75" s="134"/>
      <c r="AN75" s="134"/>
      <c r="AO75" s="134"/>
      <c r="AP75" s="134"/>
      <c r="AQ75" s="132"/>
      <c r="AR75" s="132"/>
      <c r="AS75" s="132"/>
      <c r="AT75" s="132"/>
    </row>
    <row r="76" spans="1:46" s="202" customFormat="1">
      <c r="A76" s="132"/>
      <c r="B76" s="176"/>
      <c r="C76" s="207"/>
      <c r="D76" s="207"/>
      <c r="E76" s="207"/>
      <c r="F76" s="207"/>
      <c r="G76" s="169"/>
      <c r="H76" s="169"/>
      <c r="I76" s="169"/>
      <c r="J76" s="169"/>
      <c r="K76" s="218"/>
      <c r="L76" s="218"/>
      <c r="M76" s="208"/>
      <c r="P76" s="132"/>
      <c r="Q76" s="188"/>
      <c r="R76" s="132"/>
      <c r="S76" s="132"/>
      <c r="T76" s="132"/>
      <c r="U76" s="132"/>
      <c r="V76" s="132"/>
      <c r="W76" s="132"/>
      <c r="X76" s="132"/>
      <c r="Y76" s="132"/>
      <c r="Z76" s="216"/>
      <c r="AA76" s="132"/>
      <c r="AD76" s="132"/>
      <c r="AE76" s="132"/>
      <c r="AF76" s="132"/>
      <c r="AG76" s="132"/>
      <c r="AH76" s="132"/>
      <c r="AI76" s="134"/>
      <c r="AJ76" s="133"/>
      <c r="AK76" s="133"/>
      <c r="AL76" s="134"/>
      <c r="AM76" s="134"/>
      <c r="AN76" s="134"/>
      <c r="AO76" s="134"/>
      <c r="AP76" s="134"/>
      <c r="AQ76" s="132"/>
      <c r="AR76" s="132"/>
      <c r="AS76" s="132"/>
      <c r="AT76" s="132"/>
    </row>
  </sheetData>
  <mergeCells count="6">
    <mergeCell ref="AB7:AC7"/>
    <mergeCell ref="H7:J7"/>
    <mergeCell ref="K7:M7"/>
    <mergeCell ref="N7:P7"/>
    <mergeCell ref="R7:T7"/>
    <mergeCell ref="V7:X7"/>
  </mergeCells>
  <pageMargins left="0.2" right="0" top="0.25" bottom="0.25" header="0.3" footer="0.3"/>
  <pageSetup paperSize="9" scale="95" orientation="landscape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A1:AT77"/>
  <sheetViews>
    <sheetView showGridLines="0" zoomScaleNormal="100" workbookViewId="0">
      <pane xSplit="7" ySplit="8" topLeftCell="Q9" activePane="bottomRight" state="frozen"/>
      <selection pane="topRight" activeCell="G1" sqref="G1"/>
      <selection pane="bottomLeft" activeCell="A9" sqref="A9"/>
      <selection pane="bottomRight" activeCell="A21" sqref="A21:XFD21"/>
    </sheetView>
  </sheetViews>
  <sheetFormatPr defaultColWidth="9.33203125" defaultRowHeight="13.8"/>
  <cols>
    <col min="1" max="1" width="3.6640625" style="132" customWidth="1"/>
    <col min="2" max="2" width="22" style="176" customWidth="1"/>
    <col min="3" max="3" width="5.5546875" style="133" customWidth="1"/>
    <col min="4" max="4" width="6.6640625" style="133" customWidth="1"/>
    <col min="5" max="5" width="8.33203125" style="133" customWidth="1"/>
    <col min="6" max="6" width="10.33203125" style="133" customWidth="1"/>
    <col min="7" max="7" width="12" style="132" bestFit="1" customWidth="1"/>
    <col min="8" max="8" width="5.6640625" style="132" bestFit="1" customWidth="1"/>
    <col min="9" max="9" width="2.6640625" style="132" customWidth="1"/>
    <col min="10" max="10" width="5.5546875" style="132" customWidth="1"/>
    <col min="11" max="12" width="12" style="188" bestFit="1" customWidth="1"/>
    <col min="13" max="13" width="12" style="201" bestFit="1" customWidth="1"/>
    <col min="14" max="14" width="12.109375" style="202" customWidth="1"/>
    <col min="15" max="15" width="11" style="202" bestFit="1" customWidth="1"/>
    <col min="16" max="16" width="10" style="132" bestFit="1" customWidth="1"/>
    <col min="17" max="17" width="12" style="188" customWidth="1"/>
    <col min="18" max="18" width="11" style="132" customWidth="1"/>
    <col min="19" max="19" width="10" style="132" bestFit="1" customWidth="1"/>
    <col min="20" max="20" width="10" style="132" customWidth="1"/>
    <col min="21" max="21" width="11" style="132" customWidth="1"/>
    <col min="22" max="22" width="4.109375" style="132" customWidth="1"/>
    <col min="23" max="23" width="11" style="132" customWidth="1"/>
    <col min="24" max="25" width="12" style="132" customWidth="1"/>
    <col min="26" max="26" width="12.33203125" style="216" customWidth="1"/>
    <col min="27" max="27" width="12.33203125" style="132" customWidth="1"/>
    <col min="28" max="28" width="9.6640625" style="202" customWidth="1"/>
    <col min="29" max="29" width="10.88671875" style="202" customWidth="1"/>
    <col min="30" max="30" width="12" style="132" bestFit="1" customWidth="1"/>
    <col min="31" max="31" width="11" style="132" customWidth="1"/>
    <col min="32" max="32" width="11.6640625" style="132" bestFit="1" customWidth="1"/>
    <col min="33" max="33" width="12.44140625" style="132" bestFit="1" customWidth="1"/>
    <col min="34" max="34" width="12.33203125" style="132" customWidth="1"/>
    <col min="35" max="35" width="7.77734375" style="134" customWidth="1"/>
    <col min="36" max="37" width="7.77734375" style="133" customWidth="1"/>
    <col min="38" max="39" width="7.77734375" style="134" customWidth="1"/>
    <col min="40" max="40" width="13.88671875" style="134" customWidth="1"/>
    <col min="41" max="41" width="22.6640625" style="134" bestFit="1" customWidth="1"/>
    <col min="42" max="42" width="5" style="134" bestFit="1" customWidth="1"/>
    <col min="43" max="16384" width="9.33203125" style="132"/>
  </cols>
  <sheetData>
    <row r="1" spans="1:46" s="2" customFormat="1" ht="18" customHeight="1">
      <c r="B1" s="220" t="s">
        <v>180</v>
      </c>
      <c r="C1" s="118"/>
      <c r="D1" s="118" t="s">
        <v>139</v>
      </c>
      <c r="E1" s="1"/>
      <c r="F1" s="1"/>
      <c r="J1" s="5" t="s">
        <v>202</v>
      </c>
      <c r="K1" s="5"/>
      <c r="L1" s="12"/>
      <c r="M1" s="125"/>
      <c r="N1" s="39"/>
      <c r="O1" s="39"/>
      <c r="P1" s="39"/>
      <c r="Q1" s="12"/>
      <c r="U1" s="1"/>
      <c r="AB1" s="49"/>
      <c r="AC1" s="49"/>
      <c r="AI1" s="55"/>
      <c r="AJ1" s="1"/>
      <c r="AK1" s="1"/>
      <c r="AL1" s="55"/>
      <c r="AM1" s="55"/>
      <c r="AN1" s="55"/>
      <c r="AO1" s="55"/>
      <c r="AP1" s="55"/>
    </row>
    <row r="2" spans="1:46" s="2" customFormat="1" ht="14.1" customHeight="1">
      <c r="B2" s="119" t="s">
        <v>363</v>
      </c>
      <c r="C2" s="5"/>
      <c r="D2" s="5" t="s">
        <v>181</v>
      </c>
      <c r="E2" s="1"/>
      <c r="F2" s="44"/>
      <c r="G2" s="40"/>
      <c r="H2" s="40"/>
      <c r="I2" s="1"/>
      <c r="J2" s="5" t="s">
        <v>373</v>
      </c>
      <c r="K2" s="5"/>
      <c r="L2" s="1"/>
      <c r="M2" s="126"/>
      <c r="N2" s="1"/>
      <c r="O2" s="1"/>
      <c r="P2" s="1"/>
      <c r="Q2" s="13"/>
      <c r="U2" s="1"/>
      <c r="AB2" s="49"/>
      <c r="AC2" s="49"/>
      <c r="AI2" s="55"/>
      <c r="AJ2" s="1"/>
      <c r="AK2" s="1"/>
      <c r="AL2" s="55"/>
      <c r="AM2" s="55"/>
      <c r="AN2" s="55"/>
      <c r="AO2" s="55"/>
      <c r="AP2" s="55"/>
    </row>
    <row r="3" spans="1:46" s="2" customFormat="1" ht="14.1" customHeight="1" thickBot="1">
      <c r="A3" s="53"/>
      <c r="B3" s="53"/>
      <c r="C3" s="4"/>
      <c r="D3" s="4" t="s">
        <v>182</v>
      </c>
      <c r="E3" s="4"/>
      <c r="F3" s="45"/>
      <c r="G3" s="41"/>
      <c r="H3" s="41"/>
      <c r="I3" s="4"/>
      <c r="J3" s="4" t="s">
        <v>366</v>
      </c>
      <c r="K3" s="4"/>
      <c r="L3" s="4"/>
      <c r="M3" s="127"/>
      <c r="N3" s="4"/>
      <c r="O3" s="4"/>
      <c r="P3" s="4"/>
      <c r="Q3" s="15"/>
      <c r="R3" s="16"/>
      <c r="S3" s="16"/>
      <c r="T3" s="16"/>
      <c r="U3" s="4"/>
      <c r="V3" s="16"/>
      <c r="W3" s="16"/>
      <c r="X3" s="16"/>
      <c r="Y3" s="16"/>
      <c r="Z3" s="16"/>
      <c r="AA3" s="16"/>
      <c r="AB3" s="41"/>
      <c r="AC3" s="41"/>
      <c r="AD3" s="16"/>
      <c r="AE3" s="16"/>
      <c r="AF3" s="16"/>
      <c r="AG3" s="16"/>
      <c r="AH3" s="16"/>
      <c r="AI3" s="56"/>
      <c r="AJ3" s="4"/>
      <c r="AK3" s="4"/>
      <c r="AL3" s="56"/>
      <c r="AM3" s="56"/>
      <c r="AN3" s="56"/>
      <c r="AO3" s="56"/>
      <c r="AP3" s="56"/>
    </row>
    <row r="4" spans="1:46" s="17" customFormat="1" ht="12" customHeight="1">
      <c r="B4" s="54"/>
      <c r="C4" s="5"/>
      <c r="D4" s="5"/>
      <c r="E4" s="5"/>
      <c r="F4" s="3"/>
      <c r="G4" s="42"/>
      <c r="H4" s="42"/>
      <c r="I4" s="42"/>
      <c r="J4" s="42"/>
      <c r="K4" s="14"/>
      <c r="L4" s="14"/>
      <c r="M4" s="128"/>
      <c r="N4" s="42"/>
      <c r="O4" s="42"/>
      <c r="P4" s="42"/>
      <c r="Q4" s="14"/>
      <c r="AB4" s="42"/>
      <c r="AC4" s="42"/>
      <c r="AI4" s="57"/>
      <c r="AJ4" s="5"/>
      <c r="AK4" s="5"/>
      <c r="AL4" s="57"/>
      <c r="AM4" s="57"/>
      <c r="AN4" s="57"/>
      <c r="AO4" s="57"/>
      <c r="AP4" s="57"/>
    </row>
    <row r="5" spans="1:46" s="18" customFormat="1" ht="21">
      <c r="B5" s="100" t="s">
        <v>397</v>
      </c>
      <c r="C5" s="46"/>
      <c r="D5" s="46"/>
      <c r="E5" s="46"/>
      <c r="F5" s="46"/>
      <c r="G5" s="43"/>
      <c r="H5" s="43"/>
      <c r="I5" s="43"/>
      <c r="J5" s="43"/>
      <c r="K5" s="19"/>
      <c r="L5" s="19"/>
      <c r="M5" s="129"/>
      <c r="N5" s="43"/>
      <c r="O5" s="43"/>
      <c r="P5" s="43"/>
      <c r="Q5" s="19"/>
      <c r="R5" s="19"/>
      <c r="S5" s="19"/>
      <c r="T5" s="20"/>
      <c r="U5" s="19"/>
      <c r="V5" s="19"/>
      <c r="W5" s="19"/>
      <c r="X5" s="19"/>
      <c r="Y5" s="19"/>
      <c r="Z5" s="19"/>
      <c r="AA5" s="19"/>
      <c r="AB5" s="19"/>
      <c r="AC5" s="19"/>
      <c r="AD5" s="240"/>
      <c r="AE5" s="19"/>
      <c r="AF5" s="19"/>
      <c r="AG5" s="19"/>
      <c r="AH5" s="19"/>
      <c r="AI5" s="58"/>
      <c r="AJ5" s="6"/>
      <c r="AK5" s="6"/>
      <c r="AL5" s="11"/>
      <c r="AM5" s="11"/>
      <c r="AN5" s="11"/>
      <c r="AO5" s="11"/>
      <c r="AP5" s="11"/>
    </row>
    <row r="7" spans="1:46" s="135" customFormat="1" ht="12" customHeight="1">
      <c r="A7" s="326" t="s">
        <v>16</v>
      </c>
      <c r="B7" s="326" t="s">
        <v>67</v>
      </c>
      <c r="C7" s="326" t="s">
        <v>145</v>
      </c>
      <c r="D7" s="326" t="s">
        <v>101</v>
      </c>
      <c r="E7" s="326" t="s">
        <v>147</v>
      </c>
      <c r="F7" s="326" t="s">
        <v>72</v>
      </c>
      <c r="G7" s="326" t="s">
        <v>23</v>
      </c>
      <c r="H7" s="357" t="s">
        <v>103</v>
      </c>
      <c r="I7" s="357"/>
      <c r="J7" s="357"/>
      <c r="K7" s="358" t="s">
        <v>74</v>
      </c>
      <c r="L7" s="359"/>
      <c r="M7" s="360"/>
      <c r="N7" s="361" t="s">
        <v>75</v>
      </c>
      <c r="O7" s="362"/>
      <c r="P7" s="363"/>
      <c r="Q7" s="232" t="s">
        <v>77</v>
      </c>
      <c r="R7" s="364" t="s">
        <v>177</v>
      </c>
      <c r="S7" s="365"/>
      <c r="T7" s="365"/>
      <c r="U7" s="326" t="s">
        <v>78</v>
      </c>
      <c r="V7" s="364" t="s">
        <v>176</v>
      </c>
      <c r="W7" s="365"/>
      <c r="X7" s="365"/>
      <c r="Y7" s="326" t="s">
        <v>80</v>
      </c>
      <c r="Z7" s="326" t="s">
        <v>82</v>
      </c>
      <c r="AA7" s="326" t="s">
        <v>83</v>
      </c>
      <c r="AB7" s="356" t="s">
        <v>33</v>
      </c>
      <c r="AC7" s="356"/>
      <c r="AD7" s="328" t="s">
        <v>156</v>
      </c>
      <c r="AE7" s="339" t="s">
        <v>157</v>
      </c>
      <c r="AF7" s="339" t="s">
        <v>158</v>
      </c>
      <c r="AG7" s="339" t="s">
        <v>159</v>
      </c>
      <c r="AH7" s="339" t="s">
        <v>83</v>
      </c>
      <c r="AI7" s="340"/>
      <c r="AJ7" s="340"/>
      <c r="AK7" s="340"/>
      <c r="AL7" s="340"/>
      <c r="AM7" s="340"/>
      <c r="AN7" s="340"/>
      <c r="AO7" s="340"/>
      <c r="AP7" s="340"/>
    </row>
    <row r="8" spans="1:46" s="130" customFormat="1" ht="24">
      <c r="A8" s="221" t="s">
        <v>73</v>
      </c>
      <c r="B8" s="221" t="s">
        <v>68</v>
      </c>
      <c r="C8" s="221" t="s">
        <v>146</v>
      </c>
      <c r="D8" s="221" t="s">
        <v>66</v>
      </c>
      <c r="E8" s="221" t="s">
        <v>85</v>
      </c>
      <c r="F8" s="221" t="s">
        <v>18</v>
      </c>
      <c r="G8" s="222" t="s">
        <v>24</v>
      </c>
      <c r="H8" s="327" t="s">
        <v>21</v>
      </c>
      <c r="I8" s="327" t="s">
        <v>22</v>
      </c>
      <c r="J8" s="327" t="s">
        <v>0</v>
      </c>
      <c r="K8" s="222" t="s">
        <v>149</v>
      </c>
      <c r="L8" s="222" t="s">
        <v>151</v>
      </c>
      <c r="M8" s="221" t="s">
        <v>152</v>
      </c>
      <c r="N8" s="221" t="s">
        <v>374</v>
      </c>
      <c r="O8" s="221" t="s">
        <v>375</v>
      </c>
      <c r="P8" s="221" t="s">
        <v>76</v>
      </c>
      <c r="Q8" s="222" t="s">
        <v>24</v>
      </c>
      <c r="R8" s="224" t="s">
        <v>25</v>
      </c>
      <c r="S8" s="224" t="s">
        <v>26</v>
      </c>
      <c r="T8" s="224" t="s">
        <v>27</v>
      </c>
      <c r="U8" s="225" t="s">
        <v>79</v>
      </c>
      <c r="V8" s="221" t="s">
        <v>88</v>
      </c>
      <c r="W8" s="222" t="s">
        <v>4</v>
      </c>
      <c r="X8" s="222" t="s">
        <v>3</v>
      </c>
      <c r="Y8" s="225" t="s">
        <v>81</v>
      </c>
      <c r="Z8" s="226" t="s">
        <v>84</v>
      </c>
      <c r="AA8" s="226" t="s">
        <v>1</v>
      </c>
      <c r="AB8" s="221" t="s">
        <v>34</v>
      </c>
      <c r="AC8" s="221" t="s">
        <v>35</v>
      </c>
      <c r="AD8" s="221" t="s">
        <v>155</v>
      </c>
      <c r="AE8" s="221" t="s">
        <v>40</v>
      </c>
      <c r="AF8" s="221" t="s">
        <v>28</v>
      </c>
      <c r="AG8" s="221" t="s">
        <v>48</v>
      </c>
      <c r="AH8" s="221" t="s">
        <v>1</v>
      </c>
      <c r="AI8" s="225" t="s">
        <v>86</v>
      </c>
      <c r="AJ8" s="225" t="s">
        <v>96</v>
      </c>
      <c r="AK8" s="225" t="s">
        <v>97</v>
      </c>
      <c r="AL8" s="225" t="s">
        <v>109</v>
      </c>
      <c r="AM8" s="225" t="s">
        <v>183</v>
      </c>
      <c r="AN8" s="225" t="s">
        <v>110</v>
      </c>
      <c r="AO8" s="225" t="s">
        <v>111</v>
      </c>
      <c r="AP8" s="226" t="s">
        <v>376</v>
      </c>
    </row>
    <row r="9" spans="1:46" s="155" customFormat="1" ht="12" customHeight="1">
      <c r="A9" s="136"/>
      <c r="B9" s="136"/>
      <c r="C9" s="136"/>
      <c r="D9" s="136"/>
      <c r="E9" s="136"/>
      <c r="F9" s="136"/>
      <c r="G9" s="137"/>
      <c r="H9" s="138"/>
      <c r="I9" s="138"/>
      <c r="J9" s="138"/>
      <c r="K9" s="139"/>
      <c r="L9" s="139"/>
      <c r="M9" s="140"/>
      <c r="N9" s="141"/>
      <c r="O9" s="141"/>
      <c r="P9" s="136"/>
      <c r="Q9" s="142" t="s">
        <v>29</v>
      </c>
      <c r="R9" s="143">
        <f>Assu!$C$3</f>
        <v>0.08</v>
      </c>
      <c r="S9" s="143">
        <f>Assu!$C$4</f>
        <v>1.4999999999999999E-2</v>
      </c>
      <c r="T9" s="143">
        <f>Assu!$C$5</f>
        <v>0.01</v>
      </c>
      <c r="U9" s="142" t="s">
        <v>30</v>
      </c>
      <c r="V9" s="144"/>
      <c r="W9" s="145">
        <v>4400000</v>
      </c>
      <c r="X9" s="145">
        <v>11000000</v>
      </c>
      <c r="Y9" s="146" t="s">
        <v>31</v>
      </c>
      <c r="Z9" s="147" t="s">
        <v>32</v>
      </c>
      <c r="AA9" s="147" t="s">
        <v>36</v>
      </c>
      <c r="AB9" s="148" t="s">
        <v>37</v>
      </c>
      <c r="AC9" s="148" t="s">
        <v>38</v>
      </c>
      <c r="AD9" s="149" t="s">
        <v>39</v>
      </c>
      <c r="AE9" s="151">
        <f>SUM(Assu!$B$3:$B$6)</f>
        <v>0.23499999999999999</v>
      </c>
      <c r="AF9" s="151">
        <f>SUM(R9:T9)+AE9</f>
        <v>0.33999999999999997</v>
      </c>
      <c r="AG9" s="151">
        <v>1</v>
      </c>
      <c r="AH9" s="151"/>
      <c r="AI9" s="152"/>
      <c r="AJ9" s="136"/>
      <c r="AK9" s="136"/>
      <c r="AL9" s="152"/>
      <c r="AM9" s="152"/>
      <c r="AN9" s="153"/>
      <c r="AO9" s="153"/>
      <c r="AP9" s="153"/>
      <c r="AQ9" s="154"/>
      <c r="AT9" s="154"/>
    </row>
    <row r="10" spans="1:46">
      <c r="A10" s="156">
        <v>1</v>
      </c>
      <c r="B10" s="157" t="s">
        <v>19</v>
      </c>
      <c r="C10" s="152" t="s">
        <v>148</v>
      </c>
      <c r="D10" s="152" t="s">
        <v>162</v>
      </c>
      <c r="E10" s="152">
        <v>40848</v>
      </c>
      <c r="F10" s="158" t="s">
        <v>64</v>
      </c>
      <c r="G10" s="238">
        <v>0</v>
      </c>
      <c r="H10" s="287">
        <v>25</v>
      </c>
      <c r="I10" s="287">
        <v>0</v>
      </c>
      <c r="J10" s="287">
        <f>H10+I10</f>
        <v>25</v>
      </c>
      <c r="K10" s="242">
        <f t="shared" ref="K10:K31" si="0">G10/H10*J10</f>
        <v>0</v>
      </c>
      <c r="L10" s="242">
        <v>50000000</v>
      </c>
      <c r="M10" s="162">
        <f>SUM(K10:L10)</f>
        <v>50000000</v>
      </c>
      <c r="N10" s="308"/>
      <c r="O10" s="50"/>
      <c r="P10" s="50"/>
      <c r="Q10" s="164">
        <f>SUM(M10:P10)</f>
        <v>50000000</v>
      </c>
      <c r="R10" s="165">
        <f>(MIN(VALUE($G10),[1]Assu!$E$3))*R$9</f>
        <v>0</v>
      </c>
      <c r="S10" s="165">
        <f>(MIN(VALUE($G10),[1]Assu!$E$4))*S$9</f>
        <v>0</v>
      </c>
      <c r="T10" s="165">
        <f>(MIN(VALUE($G10),[1]Assu!$E$5))*T$9</f>
        <v>0</v>
      </c>
      <c r="U10" s="159">
        <f>SUM(R10:T10)</f>
        <v>0</v>
      </c>
      <c r="V10" s="159">
        <v>0</v>
      </c>
      <c r="W10" s="50">
        <f>V10*$W$9</f>
        <v>0</v>
      </c>
      <c r="X10" s="50">
        <f t="shared" ref="X10:X31" si="1">IF(VALUE(Q10)=0,0,$X$9)</f>
        <v>11000000</v>
      </c>
      <c r="Y10" s="159">
        <f>SUM(W10:X10)</f>
        <v>11000000</v>
      </c>
      <c r="Z10" s="50">
        <f t="shared" ref="Z10:Z31" si="2">IF((Q10-U10-Y10)&lt;0,0,(Q10-U10-Y10))</f>
        <v>39000000</v>
      </c>
      <c r="AA10" s="290">
        <f>IF(AND(Z10&lt;10000000,Z10&gt;5000000),Z10*10%-250000,IF(AND(Z10&lt;18000000,Z10&gt;10000000),Z10*15%-750000,IF(AND(Z10&lt;32000000,Z10&gt;18000000),Z10*20%-1650000,IF(AND(Z10&lt;52000000,Z10&gt;32000000),Z10*25%-3250000,IF(AND(Z10&lt;80000000,Z10&gt;52000000),Z10*30%-5850000,IF(Z10&gt;80000000,Z10*35%-9850000,Z10*5%))))))</f>
        <v>6500000</v>
      </c>
      <c r="AB10" s="159"/>
      <c r="AC10" s="166"/>
      <c r="AD10" s="170">
        <f>Q10-U10-AB10+AC10</f>
        <v>50000000</v>
      </c>
      <c r="AE10" s="165">
        <f>(MIN(VALUE($G10),[1]Assu!$E$3))*AE$9</f>
        <v>0</v>
      </c>
      <c r="AF10" s="165">
        <f>(MIN(VALUE($G10),[1]Assu!$E$3))*AF$9</f>
        <v>0</v>
      </c>
      <c r="AG10" s="165">
        <f>Q10*$AG$9/12</f>
        <v>4166666.6666666665</v>
      </c>
      <c r="AH10" s="165">
        <f>AA10</f>
        <v>6500000</v>
      </c>
      <c r="AI10" s="48" t="s">
        <v>388</v>
      </c>
      <c r="AJ10" s="48"/>
      <c r="AK10" s="48"/>
      <c r="AL10" s="153"/>
      <c r="AM10" s="48" t="s">
        <v>301</v>
      </c>
      <c r="AN10" s="123" t="s">
        <v>219</v>
      </c>
      <c r="AO10" s="168" t="s">
        <v>205</v>
      </c>
      <c r="AP10" s="168" t="s">
        <v>161</v>
      </c>
    </row>
    <row r="11" spans="1:46">
      <c r="A11" s="156">
        <v>2</v>
      </c>
      <c r="B11" s="157" t="s">
        <v>89</v>
      </c>
      <c r="C11" s="152" t="s">
        <v>148</v>
      </c>
      <c r="D11" s="152" t="s">
        <v>150</v>
      </c>
      <c r="E11" s="152">
        <v>40848</v>
      </c>
      <c r="F11" s="158" t="s">
        <v>90</v>
      </c>
      <c r="G11" s="322">
        <v>24000000</v>
      </c>
      <c r="H11" s="287">
        <v>25</v>
      </c>
      <c r="I11" s="287">
        <v>0</v>
      </c>
      <c r="J11" s="287">
        <f t="shared" ref="J11:J30" si="3">H11+I11</f>
        <v>25</v>
      </c>
      <c r="K11" s="242">
        <f t="shared" si="0"/>
        <v>24000000</v>
      </c>
      <c r="L11" s="50">
        <v>40000000</v>
      </c>
      <c r="M11" s="162">
        <f t="shared" ref="M11:M31" si="4">SUM(K11:L11)</f>
        <v>64000000</v>
      </c>
      <c r="N11" s="51"/>
      <c r="O11" s="50"/>
      <c r="P11" s="50"/>
      <c r="Q11" s="164">
        <f t="shared" ref="Q11:Q31" si="5">SUM(M11:P11)</f>
        <v>64000000</v>
      </c>
      <c r="R11" s="165">
        <f>(MIN(VALUE($G11),[1]Assu!$E$3))*R$9</f>
        <v>1920000</v>
      </c>
      <c r="S11" s="165">
        <f>(MIN(VALUE($G11),[1]Assu!$E$4))*S$9</f>
        <v>360000</v>
      </c>
      <c r="T11" s="165">
        <f>(MIN(VALUE($G11),[1]Assu!$E$5))*T$9</f>
        <v>240000</v>
      </c>
      <c r="U11" s="159">
        <f t="shared" ref="U11:U31" si="6">SUM(R11:T11)</f>
        <v>2520000</v>
      </c>
      <c r="V11" s="159">
        <v>1</v>
      </c>
      <c r="W11" s="50">
        <f t="shared" ref="W11:W30" si="7">V11*$W$9</f>
        <v>4400000</v>
      </c>
      <c r="X11" s="50">
        <f t="shared" si="1"/>
        <v>11000000</v>
      </c>
      <c r="Y11" s="159">
        <f t="shared" ref="Y11:Y31" si="8">SUM(W11:X11)</f>
        <v>15400000</v>
      </c>
      <c r="Z11" s="50">
        <f t="shared" si="2"/>
        <v>46080000</v>
      </c>
      <c r="AA11" s="290">
        <f t="shared" ref="AA11:AA31" si="9">IF(AND(Z11&lt;10000000,Z11&gt;5000000),Z11*10%-250000,IF(AND(Z11&lt;18000000,Z11&gt;10000000),Z11*15%-750000,IF(AND(Z11&lt;32000000,Z11&gt;18000000),Z11*20%-1650000,IF(AND(Z11&lt;52000000,Z11&gt;32000000),Z11*25%-3250000,IF(AND(Z11&lt;80000000,Z11&gt;52000000),Z11*30%-5850000,IF(Z11&gt;80000000,Z11*35%-9850000,Z11*5%))))))</f>
        <v>8270000</v>
      </c>
      <c r="AB11" s="159"/>
      <c r="AC11" s="166"/>
      <c r="AD11" s="164">
        <f>Q11-U11-AA11-AB11-AC11</f>
        <v>53210000</v>
      </c>
      <c r="AE11" s="165">
        <f>(MIN(VALUE($G11),[1]Assu!$E$3))*AE$9</f>
        <v>5640000</v>
      </c>
      <c r="AF11" s="165">
        <f>(MIN(VALUE($G11),[1]Assu!$E$3))*AF$9</f>
        <v>8159999.9999999991</v>
      </c>
      <c r="AG11" s="165">
        <f t="shared" ref="AG11:AG31" si="10">Q11*$AG$9/12</f>
        <v>5333333.333333333</v>
      </c>
      <c r="AH11" s="165">
        <f t="shared" ref="AH11:AH30" si="11">AA11</f>
        <v>8270000</v>
      </c>
      <c r="AI11" s="48" t="s">
        <v>388</v>
      </c>
      <c r="AJ11" s="48"/>
      <c r="AK11" s="48"/>
      <c r="AL11" s="159"/>
      <c r="AM11" s="48" t="s">
        <v>301</v>
      </c>
      <c r="AN11" s="123" t="s">
        <v>218</v>
      </c>
      <c r="AO11" s="168" t="s">
        <v>140</v>
      </c>
      <c r="AP11" s="168" t="s">
        <v>160</v>
      </c>
      <c r="AT11" s="169"/>
    </row>
    <row r="12" spans="1:46">
      <c r="A12" s="156">
        <v>3</v>
      </c>
      <c r="B12" s="157" t="s">
        <v>49</v>
      </c>
      <c r="C12" s="152" t="s">
        <v>148</v>
      </c>
      <c r="D12" s="152" t="s">
        <v>163</v>
      </c>
      <c r="E12" s="152">
        <v>41334</v>
      </c>
      <c r="F12" s="158" t="s">
        <v>65</v>
      </c>
      <c r="G12" s="238">
        <v>0</v>
      </c>
      <c r="H12" s="287">
        <v>25</v>
      </c>
      <c r="I12" s="287">
        <v>0</v>
      </c>
      <c r="J12" s="287">
        <f t="shared" si="3"/>
        <v>25</v>
      </c>
      <c r="K12" s="242">
        <f t="shared" si="0"/>
        <v>0</v>
      </c>
      <c r="L12" s="50">
        <f>16800000</f>
        <v>16800000</v>
      </c>
      <c r="M12" s="162">
        <f t="shared" si="4"/>
        <v>16800000</v>
      </c>
      <c r="N12" s="51"/>
      <c r="O12" s="50"/>
      <c r="P12" s="50"/>
      <c r="Q12" s="164">
        <f t="shared" si="5"/>
        <v>16800000</v>
      </c>
      <c r="R12" s="165">
        <f>(MIN(VALUE($G12),[1]Assu!$E$3))*R$9</f>
        <v>0</v>
      </c>
      <c r="S12" s="165">
        <f>(MIN(VALUE($G12),[1]Assu!$E$4))*S$9</f>
        <v>0</v>
      </c>
      <c r="T12" s="165">
        <f>(MIN(VALUE($G12),[1]Assu!$E$5))*T$9</f>
        <v>0</v>
      </c>
      <c r="U12" s="159">
        <f t="shared" si="6"/>
        <v>0</v>
      </c>
      <c r="V12" s="159">
        <v>0</v>
      </c>
      <c r="W12" s="50">
        <f t="shared" si="7"/>
        <v>0</v>
      </c>
      <c r="X12" s="50">
        <f t="shared" si="1"/>
        <v>11000000</v>
      </c>
      <c r="Y12" s="159">
        <f t="shared" si="8"/>
        <v>11000000</v>
      </c>
      <c r="Z12" s="50">
        <f t="shared" si="2"/>
        <v>5800000</v>
      </c>
      <c r="AA12" s="290">
        <f t="shared" si="9"/>
        <v>330000</v>
      </c>
      <c r="AB12" s="159"/>
      <c r="AC12" s="166"/>
      <c r="AD12" s="164">
        <f t="shared" ref="AD12:AD31" si="12">Q12-U12-AA12-AB12-AC12</f>
        <v>16470000</v>
      </c>
      <c r="AE12" s="165">
        <f>(MIN(VALUE($G12),[1]Assu!$E$3))*AE$9</f>
        <v>0</v>
      </c>
      <c r="AF12" s="165">
        <f>(MIN(VALUE($G12),[1]Assu!$E$3))*AF$9</f>
        <v>0</v>
      </c>
      <c r="AG12" s="165">
        <f t="shared" si="10"/>
        <v>1400000</v>
      </c>
      <c r="AH12" s="165">
        <f t="shared" si="11"/>
        <v>330000</v>
      </c>
      <c r="AI12" s="48" t="s">
        <v>388</v>
      </c>
      <c r="AJ12" s="48"/>
      <c r="AK12" s="48"/>
      <c r="AL12" s="153"/>
      <c r="AM12" s="48" t="s">
        <v>301</v>
      </c>
      <c r="AN12" s="123" t="s">
        <v>220</v>
      </c>
      <c r="AO12" s="168" t="s">
        <v>140</v>
      </c>
      <c r="AP12" s="168" t="s">
        <v>161</v>
      </c>
      <c r="AT12" s="169"/>
    </row>
    <row r="13" spans="1:46">
      <c r="A13" s="156">
        <v>4</v>
      </c>
      <c r="B13" s="157" t="s">
        <v>112</v>
      </c>
      <c r="C13" s="152" t="s">
        <v>148</v>
      </c>
      <c r="D13" s="152" t="s">
        <v>163</v>
      </c>
      <c r="E13" s="124">
        <v>42177</v>
      </c>
      <c r="F13" s="158" t="s">
        <v>113</v>
      </c>
      <c r="G13" s="322">
        <v>12000000</v>
      </c>
      <c r="H13" s="287">
        <v>25</v>
      </c>
      <c r="I13" s="287">
        <v>0</v>
      </c>
      <c r="J13" s="287">
        <f t="shared" si="3"/>
        <v>25</v>
      </c>
      <c r="K13" s="242">
        <f t="shared" si="0"/>
        <v>12000000</v>
      </c>
      <c r="L13" s="50"/>
      <c r="M13" s="162">
        <f t="shared" si="4"/>
        <v>12000000</v>
      </c>
      <c r="N13" s="51"/>
      <c r="O13" s="50"/>
      <c r="P13" s="50"/>
      <c r="Q13" s="164">
        <f t="shared" si="5"/>
        <v>12000000</v>
      </c>
      <c r="R13" s="165">
        <f>(MIN(VALUE($G13),[1]Assu!$E$3))*R$9</f>
        <v>960000</v>
      </c>
      <c r="S13" s="165">
        <f>(MIN(VALUE($G13),[1]Assu!$E$4))*S$9</f>
        <v>180000</v>
      </c>
      <c r="T13" s="165">
        <f>(MIN(VALUE($G13),[1]Assu!$E$5))*T$9</f>
        <v>120000</v>
      </c>
      <c r="U13" s="159">
        <f t="shared" si="6"/>
        <v>1260000</v>
      </c>
      <c r="V13" s="159">
        <v>0</v>
      </c>
      <c r="W13" s="50">
        <f t="shared" si="7"/>
        <v>0</v>
      </c>
      <c r="X13" s="50">
        <f t="shared" si="1"/>
        <v>11000000</v>
      </c>
      <c r="Y13" s="159">
        <f t="shared" si="8"/>
        <v>11000000</v>
      </c>
      <c r="Z13" s="50">
        <f t="shared" si="2"/>
        <v>0</v>
      </c>
      <c r="AA13" s="290">
        <f t="shared" si="9"/>
        <v>0</v>
      </c>
      <c r="AB13" s="235"/>
      <c r="AC13" s="166"/>
      <c r="AD13" s="164">
        <f t="shared" si="12"/>
        <v>10740000</v>
      </c>
      <c r="AE13" s="165">
        <f>(MIN(VALUE($G13),[1]Assu!$E$3))*AE$9</f>
        <v>2820000</v>
      </c>
      <c r="AF13" s="165">
        <f>(MIN(VALUE($G13),[1]Assu!$E$3))*AF$9</f>
        <v>4079999.9999999995</v>
      </c>
      <c r="AG13" s="165">
        <f t="shared" si="10"/>
        <v>1000000</v>
      </c>
      <c r="AH13" s="165">
        <f t="shared" si="11"/>
        <v>0</v>
      </c>
      <c r="AI13" s="48"/>
      <c r="AJ13" s="48"/>
      <c r="AK13" s="48"/>
      <c r="AL13" s="153"/>
      <c r="AM13" s="48" t="s">
        <v>301</v>
      </c>
      <c r="AN13" s="123" t="s">
        <v>221</v>
      </c>
      <c r="AO13" s="168" t="s">
        <v>141</v>
      </c>
      <c r="AP13" s="168" t="s">
        <v>160</v>
      </c>
      <c r="AT13" s="169"/>
    </row>
    <row r="14" spans="1:46">
      <c r="A14" s="156">
        <v>5</v>
      </c>
      <c r="B14" s="157" t="s">
        <v>114</v>
      </c>
      <c r="C14" s="152" t="s">
        <v>148</v>
      </c>
      <c r="D14" s="227" t="s">
        <v>169</v>
      </c>
      <c r="E14" s="124">
        <v>42492</v>
      </c>
      <c r="F14" s="247" t="s">
        <v>115</v>
      </c>
      <c r="G14" s="322">
        <v>11000000</v>
      </c>
      <c r="H14" s="287">
        <v>25</v>
      </c>
      <c r="I14" s="287">
        <v>0</v>
      </c>
      <c r="J14" s="287">
        <f t="shared" si="3"/>
        <v>25</v>
      </c>
      <c r="K14" s="242">
        <f t="shared" si="0"/>
        <v>11000000</v>
      </c>
      <c r="L14" s="50"/>
      <c r="M14" s="162">
        <f t="shared" si="4"/>
        <v>11000000</v>
      </c>
      <c r="N14" s="51"/>
      <c r="O14" s="50"/>
      <c r="P14" s="50"/>
      <c r="Q14" s="164">
        <f t="shared" si="5"/>
        <v>11000000</v>
      </c>
      <c r="R14" s="165">
        <f>(MIN(VALUE($G14),[1]Assu!$E$3))*R$9</f>
        <v>880000</v>
      </c>
      <c r="S14" s="165">
        <f>(MIN(VALUE($G14),[1]Assu!$E$4))*S$9</f>
        <v>165000</v>
      </c>
      <c r="T14" s="165">
        <f>(MIN(VALUE($G14),[1]Assu!$E$5))*T$9</f>
        <v>110000</v>
      </c>
      <c r="U14" s="159">
        <f t="shared" si="6"/>
        <v>1155000</v>
      </c>
      <c r="V14" s="159">
        <v>0</v>
      </c>
      <c r="W14" s="50">
        <f t="shared" si="7"/>
        <v>0</v>
      </c>
      <c r="X14" s="50">
        <f t="shared" si="1"/>
        <v>11000000</v>
      </c>
      <c r="Y14" s="159">
        <f t="shared" si="8"/>
        <v>11000000</v>
      </c>
      <c r="Z14" s="50">
        <f t="shared" si="2"/>
        <v>0</v>
      </c>
      <c r="AA14" s="290">
        <f t="shared" si="9"/>
        <v>0</v>
      </c>
      <c r="AB14" s="159"/>
      <c r="AC14" s="166"/>
      <c r="AD14" s="164">
        <f t="shared" si="12"/>
        <v>9845000</v>
      </c>
      <c r="AE14" s="165">
        <f>(MIN(VALUE($G14),[1]Assu!$E$3))*AE$9</f>
        <v>2585000</v>
      </c>
      <c r="AF14" s="165">
        <f>(MIN(VALUE($G14),[1]Assu!$E$3))*AF$9</f>
        <v>3739999.9999999995</v>
      </c>
      <c r="AG14" s="165">
        <f t="shared" si="10"/>
        <v>916666.66666666663</v>
      </c>
      <c r="AH14" s="165">
        <f t="shared" si="11"/>
        <v>0</v>
      </c>
      <c r="AI14" s="48"/>
      <c r="AJ14" s="48"/>
      <c r="AK14" s="48"/>
      <c r="AL14" s="48"/>
      <c r="AM14" s="48" t="s">
        <v>301</v>
      </c>
      <c r="AN14" s="123" t="s">
        <v>223</v>
      </c>
      <c r="AO14" s="168" t="s">
        <v>201</v>
      </c>
      <c r="AP14" s="168" t="s">
        <v>160</v>
      </c>
      <c r="AT14" s="169"/>
    </row>
    <row r="15" spans="1:46">
      <c r="A15" s="156">
        <v>6</v>
      </c>
      <c r="B15" s="157" t="s">
        <v>122</v>
      </c>
      <c r="C15" s="244" t="s">
        <v>168</v>
      </c>
      <c r="D15" s="152" t="s">
        <v>170</v>
      </c>
      <c r="E15" s="152">
        <v>42114</v>
      </c>
      <c r="F15" s="158" t="s">
        <v>123</v>
      </c>
      <c r="G15" s="285">
        <v>13600000</v>
      </c>
      <c r="H15" s="287">
        <v>25</v>
      </c>
      <c r="I15" s="287">
        <v>0</v>
      </c>
      <c r="J15" s="287">
        <f t="shared" si="3"/>
        <v>25</v>
      </c>
      <c r="K15" s="242">
        <f t="shared" si="0"/>
        <v>13600000</v>
      </c>
      <c r="L15" s="50"/>
      <c r="M15" s="162">
        <f t="shared" si="4"/>
        <v>13600000</v>
      </c>
      <c r="N15" s="248">
        <v>2044027</v>
      </c>
      <c r="O15" s="50"/>
      <c r="P15" s="50"/>
      <c r="Q15" s="164">
        <f t="shared" si="5"/>
        <v>15644027</v>
      </c>
      <c r="R15" s="165">
        <f>(MIN(VALUE($G15),[1]Assu!$E$3))*R$9</f>
        <v>1088000</v>
      </c>
      <c r="S15" s="165">
        <f>(MIN(VALUE($G15),[1]Assu!$E$4))*S$9</f>
        <v>204000</v>
      </c>
      <c r="T15" s="165">
        <f>(MIN(VALUE($G15),[1]Assu!$E$5))*T$9</f>
        <v>136000</v>
      </c>
      <c r="U15" s="159">
        <f t="shared" si="6"/>
        <v>1428000</v>
      </c>
      <c r="V15" s="159">
        <v>1</v>
      </c>
      <c r="W15" s="50">
        <f t="shared" si="7"/>
        <v>4400000</v>
      </c>
      <c r="X15" s="50">
        <f t="shared" si="1"/>
        <v>11000000</v>
      </c>
      <c r="Y15" s="159">
        <f t="shared" si="8"/>
        <v>15400000</v>
      </c>
      <c r="Z15" s="50">
        <f t="shared" si="2"/>
        <v>0</v>
      </c>
      <c r="AA15" s="290">
        <f t="shared" si="9"/>
        <v>0</v>
      </c>
      <c r="AB15" s="159"/>
      <c r="AC15" s="166"/>
      <c r="AD15" s="164">
        <f t="shared" si="12"/>
        <v>14216027</v>
      </c>
      <c r="AE15" s="165">
        <f>(MIN(VALUE($G15),[1]Assu!$E$3))*AE$9</f>
        <v>3196000</v>
      </c>
      <c r="AF15" s="165">
        <f>(MIN(VALUE($G15),[1]Assu!$E$3))*AF$9</f>
        <v>4624000</v>
      </c>
      <c r="AG15" s="165">
        <f t="shared" si="10"/>
        <v>1303668.9166666667</v>
      </c>
      <c r="AH15" s="165">
        <f t="shared" si="11"/>
        <v>0</v>
      </c>
      <c r="AI15" s="48"/>
      <c r="AJ15" s="48" t="s">
        <v>390</v>
      </c>
      <c r="AK15" s="48"/>
      <c r="AL15" s="48"/>
      <c r="AM15" s="48" t="s">
        <v>301</v>
      </c>
      <c r="AN15" s="123" t="s">
        <v>229</v>
      </c>
      <c r="AO15" s="168" t="s">
        <v>141</v>
      </c>
      <c r="AP15" s="168" t="s">
        <v>160</v>
      </c>
    </row>
    <row r="16" spans="1:46">
      <c r="A16" s="156">
        <v>7</v>
      </c>
      <c r="B16" s="243" t="s">
        <v>280</v>
      </c>
      <c r="C16" s="244" t="s">
        <v>168</v>
      </c>
      <c r="D16" s="152" t="s">
        <v>170</v>
      </c>
      <c r="E16" s="152">
        <v>43619</v>
      </c>
      <c r="F16" s="158" t="s">
        <v>281</v>
      </c>
      <c r="G16" s="285">
        <v>8000000</v>
      </c>
      <c r="H16" s="287">
        <v>25</v>
      </c>
      <c r="I16" s="287">
        <v>0</v>
      </c>
      <c r="J16" s="287">
        <f t="shared" si="3"/>
        <v>25</v>
      </c>
      <c r="K16" s="242">
        <f t="shared" si="0"/>
        <v>8000000</v>
      </c>
      <c r="L16" s="50"/>
      <c r="M16" s="162">
        <f t="shared" si="4"/>
        <v>8000000</v>
      </c>
      <c r="N16" s="248">
        <v>2852368</v>
      </c>
      <c r="O16" s="50"/>
      <c r="P16" s="50"/>
      <c r="Q16" s="164">
        <f t="shared" si="5"/>
        <v>10852368</v>
      </c>
      <c r="R16" s="165">
        <f>(MIN(VALUE($G16),[1]Assu!$E$3))*R$9</f>
        <v>640000</v>
      </c>
      <c r="S16" s="165">
        <f>(MIN(VALUE($G16),[1]Assu!$E$4))*S$9</f>
        <v>120000</v>
      </c>
      <c r="T16" s="165">
        <f>(MIN(VALUE($G16),[1]Assu!$E$5))*T$9</f>
        <v>80000</v>
      </c>
      <c r="U16" s="159">
        <f t="shared" si="6"/>
        <v>840000</v>
      </c>
      <c r="V16" s="159">
        <v>0</v>
      </c>
      <c r="W16" s="50">
        <f t="shared" si="7"/>
        <v>0</v>
      </c>
      <c r="X16" s="50">
        <f t="shared" si="1"/>
        <v>11000000</v>
      </c>
      <c r="Y16" s="159">
        <f t="shared" si="8"/>
        <v>11000000</v>
      </c>
      <c r="Z16" s="50">
        <f t="shared" si="2"/>
        <v>0</v>
      </c>
      <c r="AA16" s="290">
        <f t="shared" si="9"/>
        <v>0</v>
      </c>
      <c r="AB16" s="159"/>
      <c r="AC16" s="166"/>
      <c r="AD16" s="164">
        <f t="shared" si="12"/>
        <v>10012368</v>
      </c>
      <c r="AE16" s="165">
        <f>(MIN(VALUE($G16),[1]Assu!$E$3))*AE$9</f>
        <v>1880000</v>
      </c>
      <c r="AF16" s="165">
        <f>(MIN(VALUE($G16),[1]Assu!$E$3))*AF$9</f>
        <v>2719999.9999999995</v>
      </c>
      <c r="AG16" s="165">
        <f t="shared" si="10"/>
        <v>904364</v>
      </c>
      <c r="AH16" s="165">
        <f t="shared" si="11"/>
        <v>0</v>
      </c>
      <c r="AI16" s="48"/>
      <c r="AJ16" s="48" t="s">
        <v>390</v>
      </c>
      <c r="AK16" s="48"/>
      <c r="AL16" s="48"/>
      <c r="AM16" s="48" t="s">
        <v>301</v>
      </c>
      <c r="AN16" s="123" t="s">
        <v>329</v>
      </c>
      <c r="AO16" s="168" t="s">
        <v>141</v>
      </c>
      <c r="AP16" s="168" t="s">
        <v>160</v>
      </c>
    </row>
    <row r="17" spans="1:46">
      <c r="A17" s="156">
        <v>8</v>
      </c>
      <c r="B17" s="157" t="s">
        <v>120</v>
      </c>
      <c r="C17" s="244" t="s">
        <v>168</v>
      </c>
      <c r="D17" s="227" t="s">
        <v>194</v>
      </c>
      <c r="E17" s="124">
        <v>40848</v>
      </c>
      <c r="F17" s="247" t="s">
        <v>121</v>
      </c>
      <c r="G17" s="285">
        <v>20000000</v>
      </c>
      <c r="H17" s="287">
        <v>25</v>
      </c>
      <c r="I17" s="287">
        <v>0</v>
      </c>
      <c r="J17" s="287">
        <f t="shared" si="3"/>
        <v>25</v>
      </c>
      <c r="K17" s="242">
        <f t="shared" si="0"/>
        <v>20000000</v>
      </c>
      <c r="L17" s="51"/>
      <c r="M17" s="162">
        <f t="shared" si="4"/>
        <v>20000000</v>
      </c>
      <c r="N17" s="50"/>
      <c r="O17" s="50"/>
      <c r="P17" s="172">
        <v>500000</v>
      </c>
      <c r="Q17" s="164">
        <f t="shared" si="5"/>
        <v>20500000</v>
      </c>
      <c r="R17" s="165">
        <f>(MIN(VALUE($G17),[1]Assu!$E$3))*R$9</f>
        <v>1600000</v>
      </c>
      <c r="S17" s="165">
        <f>(MIN(VALUE($G17),[1]Assu!$E$4))*S$9</f>
        <v>300000</v>
      </c>
      <c r="T17" s="165">
        <f>(MIN(VALUE($G17),[1]Assu!$E$5))*T$9</f>
        <v>200000</v>
      </c>
      <c r="U17" s="159">
        <f t="shared" si="6"/>
        <v>2100000</v>
      </c>
      <c r="V17" s="159">
        <v>1</v>
      </c>
      <c r="W17" s="50">
        <f t="shared" si="7"/>
        <v>4400000</v>
      </c>
      <c r="X17" s="50">
        <f t="shared" si="1"/>
        <v>11000000</v>
      </c>
      <c r="Y17" s="159">
        <f t="shared" si="8"/>
        <v>15400000</v>
      </c>
      <c r="Z17" s="50">
        <f t="shared" si="2"/>
        <v>3000000</v>
      </c>
      <c r="AA17" s="290">
        <f t="shared" si="9"/>
        <v>150000</v>
      </c>
      <c r="AB17" s="159"/>
      <c r="AC17" s="166"/>
      <c r="AD17" s="164">
        <f t="shared" si="12"/>
        <v>18250000</v>
      </c>
      <c r="AE17" s="165">
        <f>(MIN(VALUE($G17),[1]Assu!$E$3))*AE$9</f>
        <v>4700000</v>
      </c>
      <c r="AF17" s="165">
        <f>(MIN(VALUE($G17),[1]Assu!$E$3))*AF$9</f>
        <v>6799999.9999999991</v>
      </c>
      <c r="AG17" s="165">
        <f t="shared" si="10"/>
        <v>1708333.3333333333</v>
      </c>
      <c r="AH17" s="165">
        <f t="shared" si="11"/>
        <v>150000</v>
      </c>
      <c r="AI17" s="48"/>
      <c r="AJ17" s="48"/>
      <c r="AK17" s="48"/>
      <c r="AL17" s="48" t="s">
        <v>391</v>
      </c>
      <c r="AM17" s="48" t="s">
        <v>301</v>
      </c>
      <c r="AN17" s="123" t="s">
        <v>225</v>
      </c>
      <c r="AO17" s="168" t="s">
        <v>144</v>
      </c>
      <c r="AP17" s="168" t="s">
        <v>160</v>
      </c>
    </row>
    <row r="18" spans="1:46">
      <c r="A18" s="156">
        <v>9</v>
      </c>
      <c r="B18" s="157" t="s">
        <v>124</v>
      </c>
      <c r="C18" s="244" t="s">
        <v>168</v>
      </c>
      <c r="D18" s="227" t="s">
        <v>194</v>
      </c>
      <c r="E18" s="124">
        <v>41855</v>
      </c>
      <c r="F18" s="247" t="s">
        <v>125</v>
      </c>
      <c r="G18" s="285">
        <v>12000000</v>
      </c>
      <c r="H18" s="287">
        <v>25</v>
      </c>
      <c r="I18" s="287">
        <v>0</v>
      </c>
      <c r="J18" s="287">
        <f t="shared" si="3"/>
        <v>25</v>
      </c>
      <c r="K18" s="242">
        <f t="shared" si="0"/>
        <v>12000000</v>
      </c>
      <c r="L18" s="292"/>
      <c r="M18" s="162">
        <f t="shared" si="4"/>
        <v>12000000</v>
      </c>
      <c r="N18" s="50"/>
      <c r="O18" s="50"/>
      <c r="P18" s="172">
        <v>500000</v>
      </c>
      <c r="Q18" s="164">
        <f t="shared" si="5"/>
        <v>12500000</v>
      </c>
      <c r="R18" s="165">
        <f>(MIN(VALUE($G18),[1]Assu!$E$3))*R$9</f>
        <v>960000</v>
      </c>
      <c r="S18" s="165">
        <f>(MIN(VALUE($G18),[1]Assu!$E$4))*S$9</f>
        <v>180000</v>
      </c>
      <c r="T18" s="165">
        <f>(MIN(VALUE($G18),[1]Assu!$E$5))*T$9</f>
        <v>120000</v>
      </c>
      <c r="U18" s="159">
        <f t="shared" si="6"/>
        <v>1260000</v>
      </c>
      <c r="V18" s="159">
        <v>1</v>
      </c>
      <c r="W18" s="50">
        <f t="shared" si="7"/>
        <v>4400000</v>
      </c>
      <c r="X18" s="50">
        <f t="shared" si="1"/>
        <v>11000000</v>
      </c>
      <c r="Y18" s="159">
        <f t="shared" si="8"/>
        <v>15400000</v>
      </c>
      <c r="Z18" s="50">
        <f t="shared" si="2"/>
        <v>0</v>
      </c>
      <c r="AA18" s="290">
        <f t="shared" si="9"/>
        <v>0</v>
      </c>
      <c r="AB18" s="159"/>
      <c r="AC18" s="166"/>
      <c r="AD18" s="164">
        <f t="shared" si="12"/>
        <v>11240000</v>
      </c>
      <c r="AE18" s="165">
        <f>(MIN(VALUE($G18),[1]Assu!$E$3))*AE$9</f>
        <v>2820000</v>
      </c>
      <c r="AF18" s="165">
        <f>(MIN(VALUE($G18),[1]Assu!$E$3))*AF$9</f>
        <v>4079999.9999999995</v>
      </c>
      <c r="AG18" s="165">
        <f t="shared" si="10"/>
        <v>1041666.6666666666</v>
      </c>
      <c r="AH18" s="165">
        <f t="shared" si="11"/>
        <v>0</v>
      </c>
      <c r="AI18" s="48"/>
      <c r="AJ18" s="48"/>
      <c r="AK18" s="48"/>
      <c r="AL18" s="48" t="s">
        <v>391</v>
      </c>
      <c r="AM18" s="48" t="s">
        <v>301</v>
      </c>
      <c r="AN18" s="123" t="s">
        <v>226</v>
      </c>
      <c r="AO18" s="168" t="s">
        <v>141</v>
      </c>
      <c r="AP18" s="168" t="s">
        <v>160</v>
      </c>
    </row>
    <row r="19" spans="1:46">
      <c r="A19" s="156">
        <v>10</v>
      </c>
      <c r="B19" s="173" t="s">
        <v>116</v>
      </c>
      <c r="C19" s="244" t="s">
        <v>168</v>
      </c>
      <c r="D19" s="227" t="s">
        <v>194</v>
      </c>
      <c r="E19" s="124">
        <v>42736</v>
      </c>
      <c r="F19" s="158" t="s">
        <v>117</v>
      </c>
      <c r="G19" s="322">
        <v>7500000</v>
      </c>
      <c r="H19" s="287">
        <v>25</v>
      </c>
      <c r="I19" s="287">
        <v>0</v>
      </c>
      <c r="J19" s="287">
        <f t="shared" si="3"/>
        <v>25</v>
      </c>
      <c r="K19" s="242">
        <f t="shared" si="0"/>
        <v>7500000</v>
      </c>
      <c r="L19" s="297"/>
      <c r="M19" s="162">
        <f t="shared" si="4"/>
        <v>7500000</v>
      </c>
      <c r="N19" s="50"/>
      <c r="O19" s="50"/>
      <c r="P19" s="159">
        <v>500000</v>
      </c>
      <c r="Q19" s="164">
        <f t="shared" si="5"/>
        <v>8000000</v>
      </c>
      <c r="R19" s="165">
        <f>(MIN(VALUE($G19),[1]Assu!$E$3))*R$9</f>
        <v>600000</v>
      </c>
      <c r="S19" s="165">
        <f>(MIN(VALUE($G19),[1]Assu!$E$4))*S$9</f>
        <v>112500</v>
      </c>
      <c r="T19" s="165">
        <f>(MIN(VALUE($G19),[1]Assu!$E$5))*T$9</f>
        <v>75000</v>
      </c>
      <c r="U19" s="159">
        <f t="shared" si="6"/>
        <v>787500</v>
      </c>
      <c r="V19" s="159">
        <v>0</v>
      </c>
      <c r="W19" s="50">
        <f t="shared" si="7"/>
        <v>0</v>
      </c>
      <c r="X19" s="50">
        <f t="shared" si="1"/>
        <v>11000000</v>
      </c>
      <c r="Y19" s="159">
        <f t="shared" si="8"/>
        <v>11000000</v>
      </c>
      <c r="Z19" s="50">
        <f t="shared" si="2"/>
        <v>0</v>
      </c>
      <c r="AA19" s="290">
        <f t="shared" si="9"/>
        <v>0</v>
      </c>
      <c r="AB19" s="159"/>
      <c r="AC19" s="166"/>
      <c r="AD19" s="164">
        <f t="shared" si="12"/>
        <v>7212500</v>
      </c>
      <c r="AE19" s="165">
        <f>(MIN(VALUE($G19),[1]Assu!$E$3))*AE$9</f>
        <v>1762500</v>
      </c>
      <c r="AF19" s="165">
        <f>(MIN(VALUE($G19),[1]Assu!$E$3))*AF$9</f>
        <v>2549999.9999999995</v>
      </c>
      <c r="AG19" s="165">
        <f t="shared" si="10"/>
        <v>666666.66666666663</v>
      </c>
      <c r="AH19" s="165">
        <f t="shared" si="11"/>
        <v>0</v>
      </c>
      <c r="AI19" s="48"/>
      <c r="AJ19" s="48"/>
      <c r="AK19" s="48"/>
      <c r="AL19" s="48" t="s">
        <v>391</v>
      </c>
      <c r="AM19" s="48" t="s">
        <v>301</v>
      </c>
      <c r="AN19" s="123" t="s">
        <v>230</v>
      </c>
      <c r="AO19" s="168" t="s">
        <v>143</v>
      </c>
      <c r="AP19" s="168" t="s">
        <v>160</v>
      </c>
      <c r="AT19" s="169"/>
    </row>
    <row r="20" spans="1:46">
      <c r="A20" s="156">
        <v>11</v>
      </c>
      <c r="B20" s="243" t="s">
        <v>282</v>
      </c>
      <c r="C20" s="244" t="s">
        <v>168</v>
      </c>
      <c r="D20" s="227" t="s">
        <v>194</v>
      </c>
      <c r="E20" s="124">
        <v>43675</v>
      </c>
      <c r="F20" s="158" t="s">
        <v>283</v>
      </c>
      <c r="G20" s="285">
        <v>7000000</v>
      </c>
      <c r="H20" s="287">
        <v>25</v>
      </c>
      <c r="I20" s="287">
        <v>0</v>
      </c>
      <c r="J20" s="287">
        <f t="shared" si="3"/>
        <v>25</v>
      </c>
      <c r="K20" s="242">
        <f t="shared" si="0"/>
        <v>7000000</v>
      </c>
      <c r="L20" s="297"/>
      <c r="M20" s="162">
        <f t="shared" si="4"/>
        <v>7000000</v>
      </c>
      <c r="N20" s="50"/>
      <c r="O20" s="50"/>
      <c r="P20" s="159">
        <v>500000</v>
      </c>
      <c r="Q20" s="164">
        <f t="shared" si="5"/>
        <v>7500000</v>
      </c>
      <c r="R20" s="165">
        <f>(MIN(VALUE($G20),[1]Assu!$E$3))*R$9</f>
        <v>560000</v>
      </c>
      <c r="S20" s="165">
        <f>(MIN(VALUE($G20),[1]Assu!$E$4))*S$9</f>
        <v>105000</v>
      </c>
      <c r="T20" s="165">
        <f>(MIN(VALUE($G20),[1]Assu!$E$5))*T$9</f>
        <v>70000</v>
      </c>
      <c r="U20" s="159">
        <f t="shared" si="6"/>
        <v>735000</v>
      </c>
      <c r="V20" s="159">
        <v>0</v>
      </c>
      <c r="W20" s="50">
        <f t="shared" si="7"/>
        <v>0</v>
      </c>
      <c r="X20" s="50">
        <f t="shared" si="1"/>
        <v>11000000</v>
      </c>
      <c r="Y20" s="159">
        <f t="shared" si="8"/>
        <v>11000000</v>
      </c>
      <c r="Z20" s="50">
        <f t="shared" si="2"/>
        <v>0</v>
      </c>
      <c r="AA20" s="290">
        <f t="shared" si="9"/>
        <v>0</v>
      </c>
      <c r="AB20" s="159"/>
      <c r="AC20" s="166"/>
      <c r="AD20" s="164">
        <f t="shared" si="12"/>
        <v>6765000</v>
      </c>
      <c r="AE20" s="165">
        <f>(MIN(VALUE($G20),[1]Assu!$E$3))*AE$9</f>
        <v>1645000</v>
      </c>
      <c r="AF20" s="165">
        <f>(MIN(VALUE($G20),[1]Assu!$E$3))*AF$9</f>
        <v>2380000</v>
      </c>
      <c r="AG20" s="165">
        <f t="shared" si="10"/>
        <v>625000</v>
      </c>
      <c r="AH20" s="165">
        <f t="shared" si="11"/>
        <v>0</v>
      </c>
      <c r="AI20" s="48"/>
      <c r="AJ20" s="48"/>
      <c r="AK20" s="48"/>
      <c r="AL20" s="48" t="s">
        <v>391</v>
      </c>
      <c r="AM20" s="48" t="s">
        <v>301</v>
      </c>
      <c r="AN20" s="123" t="s">
        <v>284</v>
      </c>
      <c r="AO20" s="123" t="s">
        <v>286</v>
      </c>
      <c r="AP20" s="168" t="s">
        <v>160</v>
      </c>
    </row>
    <row r="21" spans="1:46" s="18" customFormat="1">
      <c r="A21" s="156">
        <v>12</v>
      </c>
      <c r="B21" s="288" t="s">
        <v>303</v>
      </c>
      <c r="C21" s="245" t="s">
        <v>165</v>
      </c>
      <c r="D21" s="47" t="s">
        <v>368</v>
      </c>
      <c r="E21" s="124">
        <v>42254</v>
      </c>
      <c r="F21" s="291" t="s">
        <v>304</v>
      </c>
      <c r="G21" s="290">
        <v>8300000</v>
      </c>
      <c r="H21" s="287">
        <v>25</v>
      </c>
      <c r="I21" s="287">
        <v>0</v>
      </c>
      <c r="J21" s="287">
        <f t="shared" si="3"/>
        <v>25</v>
      </c>
      <c r="K21" s="242">
        <f t="shared" si="0"/>
        <v>8300000</v>
      </c>
      <c r="L21" s="50"/>
      <c r="M21" s="162">
        <f t="shared" si="4"/>
        <v>8300000</v>
      </c>
      <c r="N21" s="248">
        <v>2953500</v>
      </c>
      <c r="O21" s="50"/>
      <c r="P21" s="50"/>
      <c r="Q21" s="164">
        <f t="shared" si="5"/>
        <v>11253500</v>
      </c>
      <c r="R21" s="165">
        <f>(MIN(VALUE($G21),[1]Assu!$E$3))*R$9</f>
        <v>664000</v>
      </c>
      <c r="S21" s="165">
        <f>(MIN(VALUE($G21),[1]Assu!$E$4))*S$9</f>
        <v>124500</v>
      </c>
      <c r="T21" s="165">
        <f>(MIN(VALUE($G21),[1]Assu!$E$5))*T$9</f>
        <v>83000</v>
      </c>
      <c r="U21" s="159">
        <f t="shared" si="6"/>
        <v>871500</v>
      </c>
      <c r="V21" s="50">
        <v>0</v>
      </c>
      <c r="W21" s="50">
        <f t="shared" si="7"/>
        <v>0</v>
      </c>
      <c r="X21" s="50">
        <f t="shared" si="1"/>
        <v>11000000</v>
      </c>
      <c r="Y21" s="159">
        <f t="shared" si="8"/>
        <v>11000000</v>
      </c>
      <c r="Z21" s="50">
        <f t="shared" si="2"/>
        <v>0</v>
      </c>
      <c r="AA21" s="290">
        <f t="shared" si="9"/>
        <v>0</v>
      </c>
      <c r="AB21" s="51"/>
      <c r="AC21" s="51"/>
      <c r="AD21" s="164">
        <f t="shared" si="12"/>
        <v>10382000</v>
      </c>
      <c r="AE21" s="165">
        <f>(MIN(VALUE($G21),[1]Assu!$E$3))*AE$9</f>
        <v>1950500</v>
      </c>
      <c r="AF21" s="165">
        <f>(MIN(VALUE($G21),[1]Assu!$E$3))*AF$9</f>
        <v>2821999.9999999995</v>
      </c>
      <c r="AG21" s="165">
        <f t="shared" si="10"/>
        <v>937791.66666666663</v>
      </c>
      <c r="AH21" s="165">
        <f t="shared" si="11"/>
        <v>0</v>
      </c>
      <c r="AI21" s="48"/>
      <c r="AJ21" s="48" t="s">
        <v>389</v>
      </c>
      <c r="AK21" s="48"/>
      <c r="AL21" s="48"/>
      <c r="AM21" s="48" t="s">
        <v>301</v>
      </c>
      <c r="AN21" s="48" t="s">
        <v>305</v>
      </c>
      <c r="AO21" s="48" t="s">
        <v>141</v>
      </c>
      <c r="AP21" s="48" t="s">
        <v>160</v>
      </c>
      <c r="AT21" s="23"/>
    </row>
    <row r="22" spans="1:46">
      <c r="A22" s="156">
        <v>13</v>
      </c>
      <c r="B22" s="157" t="s">
        <v>118</v>
      </c>
      <c r="C22" s="245" t="s">
        <v>165</v>
      </c>
      <c r="D22" s="47" t="s">
        <v>192</v>
      </c>
      <c r="E22" s="124">
        <v>41974</v>
      </c>
      <c r="F22" s="247" t="s">
        <v>119</v>
      </c>
      <c r="G22" s="322">
        <v>16500000</v>
      </c>
      <c r="H22" s="287">
        <v>25</v>
      </c>
      <c r="I22" s="287">
        <v>0</v>
      </c>
      <c r="J22" s="287">
        <f t="shared" si="3"/>
        <v>25</v>
      </c>
      <c r="K22" s="242">
        <f t="shared" si="0"/>
        <v>16500000</v>
      </c>
      <c r="L22" s="292"/>
      <c r="M22" s="162">
        <f t="shared" si="4"/>
        <v>16500000</v>
      </c>
      <c r="N22" s="51"/>
      <c r="O22" s="50"/>
      <c r="P22" s="50"/>
      <c r="Q22" s="164">
        <f t="shared" si="5"/>
        <v>16500000</v>
      </c>
      <c r="R22" s="165">
        <f>(MIN(VALUE($G22),[1]Assu!$E$3))*R$9</f>
        <v>1320000</v>
      </c>
      <c r="S22" s="165">
        <f>(MIN(VALUE($G22),[1]Assu!$E$4))*S$9</f>
        <v>247500</v>
      </c>
      <c r="T22" s="165">
        <f>(MIN(VALUE($G22),[1]Assu!$E$5))*T$9</f>
        <v>165000</v>
      </c>
      <c r="U22" s="159">
        <f t="shared" si="6"/>
        <v>1732500</v>
      </c>
      <c r="V22" s="159">
        <v>0</v>
      </c>
      <c r="W22" s="50">
        <f t="shared" si="7"/>
        <v>0</v>
      </c>
      <c r="X22" s="50">
        <f t="shared" si="1"/>
        <v>11000000</v>
      </c>
      <c r="Y22" s="159">
        <f t="shared" si="8"/>
        <v>11000000</v>
      </c>
      <c r="Z22" s="50">
        <f t="shared" si="2"/>
        <v>3767500</v>
      </c>
      <c r="AA22" s="290">
        <f t="shared" si="9"/>
        <v>188375</v>
      </c>
      <c r="AB22" s="159"/>
      <c r="AC22" s="166"/>
      <c r="AD22" s="164">
        <f t="shared" si="12"/>
        <v>14579125</v>
      </c>
      <c r="AE22" s="165">
        <f>(MIN(VALUE($G22),[1]Assu!$E$3))*AE$9</f>
        <v>3877500</v>
      </c>
      <c r="AF22" s="165">
        <f>(MIN(VALUE($G22),[1]Assu!$E$3))*AF$9</f>
        <v>5609999.9999999991</v>
      </c>
      <c r="AG22" s="165">
        <f t="shared" si="10"/>
        <v>1375000</v>
      </c>
      <c r="AH22" s="165">
        <f t="shared" si="11"/>
        <v>188375</v>
      </c>
      <c r="AI22" s="48"/>
      <c r="AJ22" s="48"/>
      <c r="AK22" s="48"/>
      <c r="AL22" s="48"/>
      <c r="AM22" s="48" t="s">
        <v>301</v>
      </c>
      <c r="AN22" s="123" t="s">
        <v>228</v>
      </c>
      <c r="AO22" s="168" t="s">
        <v>141</v>
      </c>
      <c r="AP22" s="168" t="s">
        <v>160</v>
      </c>
    </row>
    <row r="23" spans="1:46">
      <c r="A23" s="156">
        <v>14</v>
      </c>
      <c r="B23" s="243" t="s">
        <v>291</v>
      </c>
      <c r="C23" s="245" t="s">
        <v>165</v>
      </c>
      <c r="D23" s="227" t="s">
        <v>197</v>
      </c>
      <c r="E23" s="124">
        <v>43804</v>
      </c>
      <c r="F23" s="246" t="s">
        <v>306</v>
      </c>
      <c r="G23" s="285">
        <v>7500000</v>
      </c>
      <c r="H23" s="287">
        <v>25</v>
      </c>
      <c r="I23" s="287">
        <v>0</v>
      </c>
      <c r="J23" s="287">
        <f t="shared" si="3"/>
        <v>25</v>
      </c>
      <c r="K23" s="242">
        <f t="shared" si="0"/>
        <v>7500000</v>
      </c>
      <c r="L23" s="50"/>
      <c r="M23" s="162">
        <f t="shared" si="4"/>
        <v>7500000</v>
      </c>
      <c r="N23" s="51"/>
      <c r="O23" s="50"/>
      <c r="P23" s="50"/>
      <c r="Q23" s="164">
        <f t="shared" si="5"/>
        <v>7500000</v>
      </c>
      <c r="R23" s="165">
        <f>(MIN(VALUE($G23),[1]Assu!$E$3))*R$9</f>
        <v>600000</v>
      </c>
      <c r="S23" s="165">
        <f>(MIN(VALUE($G23),[1]Assu!$E$4))*S$9</f>
        <v>112500</v>
      </c>
      <c r="T23" s="165">
        <f>(MIN(VALUE($G23),[1]Assu!$E$5))*T$9</f>
        <v>75000</v>
      </c>
      <c r="U23" s="159">
        <f t="shared" si="6"/>
        <v>787500</v>
      </c>
      <c r="V23" s="159">
        <v>0</v>
      </c>
      <c r="W23" s="50">
        <f t="shared" si="7"/>
        <v>0</v>
      </c>
      <c r="X23" s="50">
        <f t="shared" si="1"/>
        <v>11000000</v>
      </c>
      <c r="Y23" s="159">
        <f t="shared" si="8"/>
        <v>11000000</v>
      </c>
      <c r="Z23" s="50">
        <f t="shared" si="2"/>
        <v>0</v>
      </c>
      <c r="AA23" s="290">
        <f t="shared" si="9"/>
        <v>0</v>
      </c>
      <c r="AB23" s="159"/>
      <c r="AC23" s="166"/>
      <c r="AD23" s="164">
        <f t="shared" si="12"/>
        <v>6712500</v>
      </c>
      <c r="AE23" s="165">
        <f>(MIN(VALUE($G23),[1]Assu!$E$3))*AE$9</f>
        <v>1762500</v>
      </c>
      <c r="AF23" s="165">
        <f>(MIN(VALUE($G23),[1]Assu!$E$3))*AF$9</f>
        <v>2549999.9999999995</v>
      </c>
      <c r="AG23" s="165">
        <f t="shared" si="10"/>
        <v>625000</v>
      </c>
      <c r="AH23" s="165">
        <f t="shared" si="11"/>
        <v>0</v>
      </c>
      <c r="AI23" s="48"/>
      <c r="AJ23" s="48"/>
      <c r="AK23" s="48"/>
      <c r="AL23" s="48"/>
      <c r="AM23" s="48" t="s">
        <v>301</v>
      </c>
      <c r="AN23" s="123" t="s">
        <v>292</v>
      </c>
      <c r="AO23" s="123" t="s">
        <v>293</v>
      </c>
      <c r="AP23" s="168" t="s">
        <v>160</v>
      </c>
    </row>
    <row r="24" spans="1:46">
      <c r="A24" s="156">
        <v>15</v>
      </c>
      <c r="B24" s="243" t="s">
        <v>199</v>
      </c>
      <c r="C24" s="245" t="s">
        <v>165</v>
      </c>
      <c r="D24" s="227" t="s">
        <v>197</v>
      </c>
      <c r="E24" s="124">
        <v>43133</v>
      </c>
      <c r="F24" s="236" t="s">
        <v>198</v>
      </c>
      <c r="G24" s="239">
        <v>8850000</v>
      </c>
      <c r="H24" s="287">
        <v>25</v>
      </c>
      <c r="I24" s="287">
        <v>0</v>
      </c>
      <c r="J24" s="341">
        <v>16</v>
      </c>
      <c r="K24" s="242">
        <f t="shared" si="0"/>
        <v>5664000</v>
      </c>
      <c r="L24" s="292">
        <f>(800000+1200000+2000000)*16/25</f>
        <v>2560000</v>
      </c>
      <c r="M24" s="162">
        <f t="shared" si="4"/>
        <v>8224000</v>
      </c>
      <c r="N24" s="248">
        <v>1027041</v>
      </c>
      <c r="O24" s="50"/>
      <c r="P24" s="50"/>
      <c r="Q24" s="164">
        <f t="shared" si="5"/>
        <v>9251041</v>
      </c>
      <c r="R24" s="165">
        <f>(MIN(VALUE($G24),[1]Assu!$E$3))*R$9</f>
        <v>708000</v>
      </c>
      <c r="S24" s="165">
        <f>(MIN(VALUE($G24),[1]Assu!$E$4))*S$9</f>
        <v>132750</v>
      </c>
      <c r="T24" s="165">
        <f>(MIN(VALUE($G24),[1]Assu!$E$5))*T$9</f>
        <v>88500</v>
      </c>
      <c r="U24" s="159">
        <f t="shared" si="6"/>
        <v>929250</v>
      </c>
      <c r="V24" s="159">
        <v>0</v>
      </c>
      <c r="W24" s="50">
        <f t="shared" si="7"/>
        <v>0</v>
      </c>
      <c r="X24" s="50">
        <f t="shared" si="1"/>
        <v>11000000</v>
      </c>
      <c r="Y24" s="159">
        <f t="shared" si="8"/>
        <v>11000000</v>
      </c>
      <c r="Z24" s="50">
        <f t="shared" si="2"/>
        <v>0</v>
      </c>
      <c r="AA24" s="290">
        <f t="shared" si="9"/>
        <v>0</v>
      </c>
      <c r="AB24" s="159"/>
      <c r="AC24" s="166"/>
      <c r="AD24" s="164">
        <f t="shared" si="12"/>
        <v>8321791</v>
      </c>
      <c r="AE24" s="165">
        <f>(MIN(VALUE($G24),[1]Assu!$E$3))*AE$9</f>
        <v>2079749.9999999998</v>
      </c>
      <c r="AF24" s="165">
        <f>(MIN(VALUE($G24),[1]Assu!$E$3))*AF$9</f>
        <v>3008999.9999999995</v>
      </c>
      <c r="AG24" s="165">
        <f t="shared" si="10"/>
        <v>770920.08333333337</v>
      </c>
      <c r="AH24" s="165">
        <f t="shared" si="11"/>
        <v>0</v>
      </c>
      <c r="AI24" s="48" t="s">
        <v>401</v>
      </c>
      <c r="AJ24" s="48" t="s">
        <v>402</v>
      </c>
      <c r="AK24" s="48"/>
      <c r="AL24" s="48"/>
      <c r="AM24" s="48" t="s">
        <v>301</v>
      </c>
      <c r="AN24" s="123" t="s">
        <v>222</v>
      </c>
      <c r="AO24" s="168" t="s">
        <v>200</v>
      </c>
      <c r="AP24" s="168" t="s">
        <v>160</v>
      </c>
    </row>
    <row r="25" spans="1:46">
      <c r="A25" s="156">
        <v>16</v>
      </c>
      <c r="B25" s="243" t="s">
        <v>287</v>
      </c>
      <c r="C25" s="245" t="s">
        <v>165</v>
      </c>
      <c r="D25" s="227" t="s">
        <v>197</v>
      </c>
      <c r="E25" s="124">
        <v>43725</v>
      </c>
      <c r="F25" s="246" t="s">
        <v>290</v>
      </c>
      <c r="G25" s="285">
        <v>7000000</v>
      </c>
      <c r="H25" s="287">
        <v>25</v>
      </c>
      <c r="I25" s="287">
        <v>0</v>
      </c>
      <c r="J25" s="287">
        <f t="shared" si="3"/>
        <v>25</v>
      </c>
      <c r="K25" s="242">
        <f t="shared" si="0"/>
        <v>7000000</v>
      </c>
      <c r="L25" s="50">
        <f>650000+750000</f>
        <v>1400000</v>
      </c>
      <c r="M25" s="162">
        <f t="shared" si="4"/>
        <v>8400000</v>
      </c>
      <c r="N25" s="248">
        <v>1241827</v>
      </c>
      <c r="O25" s="50"/>
      <c r="P25" s="50"/>
      <c r="Q25" s="164">
        <f t="shared" si="5"/>
        <v>9641827</v>
      </c>
      <c r="R25" s="165">
        <f>(MIN(VALUE($G25),[1]Assu!$E$3))*R$9</f>
        <v>560000</v>
      </c>
      <c r="S25" s="165">
        <f>(MIN(VALUE($G25),[1]Assu!$E$4))*S$9</f>
        <v>105000</v>
      </c>
      <c r="T25" s="165">
        <f>(MIN(VALUE($G25),[1]Assu!$E$5))*T$9</f>
        <v>70000</v>
      </c>
      <c r="U25" s="159">
        <f t="shared" si="6"/>
        <v>735000</v>
      </c>
      <c r="V25" s="159">
        <v>0</v>
      </c>
      <c r="W25" s="50">
        <f t="shared" si="7"/>
        <v>0</v>
      </c>
      <c r="X25" s="50">
        <f t="shared" si="1"/>
        <v>11000000</v>
      </c>
      <c r="Y25" s="159">
        <f t="shared" si="8"/>
        <v>11000000</v>
      </c>
      <c r="Z25" s="50">
        <f t="shared" si="2"/>
        <v>0</v>
      </c>
      <c r="AA25" s="290">
        <f t="shared" si="9"/>
        <v>0</v>
      </c>
      <c r="AB25" s="159"/>
      <c r="AC25" s="166"/>
      <c r="AD25" s="164">
        <f t="shared" si="12"/>
        <v>8906827</v>
      </c>
      <c r="AE25" s="165">
        <f>(MIN(VALUE($G25),[1]Assu!$E$3))*AE$9</f>
        <v>1645000</v>
      </c>
      <c r="AF25" s="165">
        <f>(MIN(VALUE($G25),[1]Assu!$E$3))*AF$9</f>
        <v>2380000</v>
      </c>
      <c r="AG25" s="165">
        <f t="shared" si="10"/>
        <v>803485.58333333337</v>
      </c>
      <c r="AH25" s="165">
        <f t="shared" si="11"/>
        <v>0</v>
      </c>
      <c r="AI25" s="48" t="s">
        <v>401</v>
      </c>
      <c r="AJ25" s="48" t="s">
        <v>402</v>
      </c>
      <c r="AK25" s="48"/>
      <c r="AL25" s="48"/>
      <c r="AM25" s="48" t="s">
        <v>301</v>
      </c>
      <c r="AN25" s="123" t="s">
        <v>289</v>
      </c>
      <c r="AO25" s="123" t="s">
        <v>288</v>
      </c>
      <c r="AP25" s="168" t="s">
        <v>160</v>
      </c>
    </row>
    <row r="26" spans="1:46">
      <c r="A26" s="156">
        <v>17</v>
      </c>
      <c r="B26" s="343" t="s">
        <v>400</v>
      </c>
      <c r="C26" s="245" t="s">
        <v>165</v>
      </c>
      <c r="D26" s="227" t="s">
        <v>197</v>
      </c>
      <c r="E26" s="342">
        <v>44257</v>
      </c>
      <c r="F26" s="171" t="s">
        <v>403</v>
      </c>
      <c r="G26" s="285">
        <v>9000000</v>
      </c>
      <c r="H26" s="287">
        <v>25</v>
      </c>
      <c r="I26" s="287">
        <v>0</v>
      </c>
      <c r="J26" s="287">
        <f t="shared" si="3"/>
        <v>25</v>
      </c>
      <c r="K26" s="242">
        <f t="shared" si="0"/>
        <v>9000000</v>
      </c>
      <c r="L26" s="50">
        <f>650000+750000</f>
        <v>1400000</v>
      </c>
      <c r="M26" s="162">
        <f t="shared" si="4"/>
        <v>10400000</v>
      </c>
      <c r="N26" s="248">
        <v>150000</v>
      </c>
      <c r="O26" s="50"/>
      <c r="P26" s="50"/>
      <c r="Q26" s="164">
        <f t="shared" si="5"/>
        <v>10550000</v>
      </c>
      <c r="R26" s="165">
        <v>0</v>
      </c>
      <c r="S26" s="165">
        <v>0</v>
      </c>
      <c r="T26" s="165">
        <v>0</v>
      </c>
      <c r="U26" s="159">
        <f t="shared" si="6"/>
        <v>0</v>
      </c>
      <c r="V26" s="159">
        <v>0</v>
      </c>
      <c r="W26" s="50">
        <f t="shared" si="7"/>
        <v>0</v>
      </c>
      <c r="X26" s="50">
        <f t="shared" si="1"/>
        <v>11000000</v>
      </c>
      <c r="Y26" s="159">
        <f t="shared" si="8"/>
        <v>11000000</v>
      </c>
      <c r="Z26" s="50">
        <f t="shared" si="2"/>
        <v>0</v>
      </c>
      <c r="AA26" s="290">
        <f t="shared" si="9"/>
        <v>0</v>
      </c>
      <c r="AB26" s="159"/>
      <c r="AC26" s="166"/>
      <c r="AD26" s="164">
        <f t="shared" si="12"/>
        <v>10550000</v>
      </c>
      <c r="AE26" s="165"/>
      <c r="AF26" s="165"/>
      <c r="AG26" s="165">
        <f t="shared" si="10"/>
        <v>879166.66666666663</v>
      </c>
      <c r="AH26" s="165">
        <f t="shared" si="11"/>
        <v>0</v>
      </c>
      <c r="AI26" s="48" t="s">
        <v>401</v>
      </c>
      <c r="AJ26" s="48" t="s">
        <v>402</v>
      </c>
      <c r="AK26" s="48"/>
      <c r="AL26" s="48"/>
      <c r="AM26" s="48" t="s">
        <v>301</v>
      </c>
      <c r="AN26" s="123" t="s">
        <v>404</v>
      </c>
      <c r="AO26" s="123" t="s">
        <v>405</v>
      </c>
      <c r="AP26" s="168" t="s">
        <v>160</v>
      </c>
    </row>
    <row r="27" spans="1:46">
      <c r="A27" s="156">
        <v>18</v>
      </c>
      <c r="B27" s="286" t="s">
        <v>406</v>
      </c>
      <c r="C27" s="245" t="s">
        <v>165</v>
      </c>
      <c r="D27" s="227" t="s">
        <v>368</v>
      </c>
      <c r="E27" s="342">
        <v>44270</v>
      </c>
      <c r="F27" s="171" t="s">
        <v>407</v>
      </c>
      <c r="G27" s="285">
        <v>8500000</v>
      </c>
      <c r="H27" s="287">
        <v>25</v>
      </c>
      <c r="I27" s="287">
        <v>0</v>
      </c>
      <c r="J27" s="341">
        <v>10</v>
      </c>
      <c r="K27" s="242">
        <f t="shared" si="0"/>
        <v>3400000</v>
      </c>
      <c r="L27" s="50">
        <f>600000*10/25</f>
        <v>240000</v>
      </c>
      <c r="M27" s="162">
        <f t="shared" si="4"/>
        <v>3640000</v>
      </c>
      <c r="N27" s="159"/>
      <c r="O27" s="50"/>
      <c r="P27" s="50"/>
      <c r="Q27" s="164">
        <f t="shared" ref="Q27" si="13">SUM(M27:P27)</f>
        <v>3640000</v>
      </c>
      <c r="R27" s="165">
        <v>0</v>
      </c>
      <c r="S27" s="165">
        <v>0</v>
      </c>
      <c r="T27" s="165">
        <v>0</v>
      </c>
      <c r="U27" s="159">
        <f t="shared" si="6"/>
        <v>0</v>
      </c>
      <c r="V27" s="159">
        <v>0</v>
      </c>
      <c r="W27" s="50">
        <f t="shared" si="7"/>
        <v>0</v>
      </c>
      <c r="X27" s="50">
        <f t="shared" ref="X27" si="14">IF(VALUE(Q27)=0,0,$X$9)</f>
        <v>11000000</v>
      </c>
      <c r="Y27" s="159">
        <f t="shared" si="8"/>
        <v>11000000</v>
      </c>
      <c r="Z27" s="50">
        <f t="shared" ref="Z27" si="15">IF((Q27-U27-Y27)&lt;0,0,(Q27-U27-Y27))</f>
        <v>0</v>
      </c>
      <c r="AA27" s="290">
        <f t="shared" si="9"/>
        <v>0</v>
      </c>
      <c r="AB27" s="159"/>
      <c r="AC27" s="166"/>
      <c r="AD27" s="164">
        <f t="shared" ref="AD27" si="16">Q27-U27-AA27-AB27-AC27</f>
        <v>3640000</v>
      </c>
      <c r="AE27" s="165"/>
      <c r="AF27" s="165"/>
      <c r="AG27" s="165">
        <f t="shared" ref="AG27" si="17">Q27*$AG$9/12</f>
        <v>303333.33333333331</v>
      </c>
      <c r="AH27" s="165">
        <f t="shared" si="11"/>
        <v>0</v>
      </c>
      <c r="AI27" s="48" t="s">
        <v>410</v>
      </c>
      <c r="AJ27" s="48"/>
      <c r="AK27" s="48"/>
      <c r="AL27" s="48"/>
      <c r="AM27" s="48" t="s">
        <v>301</v>
      </c>
      <c r="AN27" s="123" t="s">
        <v>408</v>
      </c>
      <c r="AO27" s="123" t="s">
        <v>409</v>
      </c>
      <c r="AP27" s="168" t="s">
        <v>160</v>
      </c>
    </row>
    <row r="28" spans="1:46">
      <c r="A28" s="156">
        <v>19</v>
      </c>
      <c r="B28" s="243" t="s">
        <v>211</v>
      </c>
      <c r="C28" s="245" t="s">
        <v>165</v>
      </c>
      <c r="D28" s="227" t="s">
        <v>368</v>
      </c>
      <c r="E28" s="124">
        <v>43374</v>
      </c>
      <c r="F28" s="246" t="s">
        <v>212</v>
      </c>
      <c r="G28" s="285">
        <v>8000000</v>
      </c>
      <c r="H28" s="287">
        <v>25</v>
      </c>
      <c r="I28" s="287">
        <v>0</v>
      </c>
      <c r="J28" s="287">
        <f t="shared" si="3"/>
        <v>25</v>
      </c>
      <c r="K28" s="242">
        <f t="shared" si="0"/>
        <v>8000000</v>
      </c>
      <c r="L28" s="292">
        <f>1800000+1200000</f>
        <v>3000000</v>
      </c>
      <c r="M28" s="162">
        <f t="shared" si="4"/>
        <v>11000000</v>
      </c>
      <c r="N28" s="248">
        <v>2931462</v>
      </c>
      <c r="O28" s="50"/>
      <c r="P28" s="50"/>
      <c r="Q28" s="164">
        <f t="shared" si="5"/>
        <v>13931462</v>
      </c>
      <c r="R28" s="165">
        <f>(MIN(VALUE($G28),[1]Assu!$E$3))*R$9</f>
        <v>640000</v>
      </c>
      <c r="S28" s="165">
        <f>(MIN(VALUE($G28),[1]Assu!$E$4))*S$9</f>
        <v>120000</v>
      </c>
      <c r="T28" s="165">
        <f>(MIN(VALUE($G28),[1]Assu!$E$5))*T$9</f>
        <v>80000</v>
      </c>
      <c r="U28" s="159">
        <f t="shared" si="6"/>
        <v>840000</v>
      </c>
      <c r="V28" s="159">
        <v>1</v>
      </c>
      <c r="W28" s="50">
        <f t="shared" si="7"/>
        <v>4400000</v>
      </c>
      <c r="X28" s="50">
        <f t="shared" si="1"/>
        <v>11000000</v>
      </c>
      <c r="Y28" s="159">
        <f t="shared" si="8"/>
        <v>15400000</v>
      </c>
      <c r="Z28" s="50">
        <f t="shared" si="2"/>
        <v>0</v>
      </c>
      <c r="AA28" s="290">
        <f t="shared" si="9"/>
        <v>0</v>
      </c>
      <c r="AB28" s="159"/>
      <c r="AC28" s="166"/>
      <c r="AD28" s="164">
        <f t="shared" si="12"/>
        <v>13091462</v>
      </c>
      <c r="AE28" s="165">
        <f>(MIN(VALUE($G28),[1]Assu!$E$3))*AE$9</f>
        <v>1880000</v>
      </c>
      <c r="AF28" s="165">
        <f>(MIN(VALUE($G28),[1]Assu!$E$3))*AF$9</f>
        <v>2719999.9999999995</v>
      </c>
      <c r="AG28" s="165">
        <f t="shared" si="10"/>
        <v>1160955.1666666667</v>
      </c>
      <c r="AH28" s="165">
        <f t="shared" si="11"/>
        <v>0</v>
      </c>
      <c r="AI28" s="48" t="s">
        <v>401</v>
      </c>
      <c r="AJ28" s="48" t="s">
        <v>393</v>
      </c>
      <c r="AK28" s="48"/>
      <c r="AL28" s="48"/>
      <c r="AM28" s="48" t="s">
        <v>301</v>
      </c>
      <c r="AN28" s="123" t="s">
        <v>213</v>
      </c>
      <c r="AO28" s="123" t="s">
        <v>214</v>
      </c>
      <c r="AP28" s="168" t="s">
        <v>160</v>
      </c>
    </row>
    <row r="29" spans="1:46">
      <c r="A29" s="156">
        <v>20</v>
      </c>
      <c r="B29" s="243" t="s">
        <v>317</v>
      </c>
      <c r="C29" s="245" t="s">
        <v>165</v>
      </c>
      <c r="D29" s="227" t="s">
        <v>368</v>
      </c>
      <c r="E29" s="124">
        <v>44074</v>
      </c>
      <c r="F29" s="246" t="s">
        <v>321</v>
      </c>
      <c r="G29" s="285">
        <v>7500000</v>
      </c>
      <c r="H29" s="287">
        <v>25</v>
      </c>
      <c r="I29" s="287">
        <v>0</v>
      </c>
      <c r="J29" s="287">
        <f t="shared" si="3"/>
        <v>25</v>
      </c>
      <c r="K29" s="242">
        <f t="shared" si="0"/>
        <v>7500000</v>
      </c>
      <c r="L29" s="50">
        <f>1800000</f>
        <v>1800000</v>
      </c>
      <c r="M29" s="162">
        <f t="shared" si="4"/>
        <v>9300000</v>
      </c>
      <c r="N29" s="248">
        <v>6157255</v>
      </c>
      <c r="O29" s="50"/>
      <c r="P29" s="50"/>
      <c r="Q29" s="164">
        <f t="shared" si="5"/>
        <v>15457255</v>
      </c>
      <c r="R29" s="165">
        <f>(MIN(VALUE($G29),[1]Assu!$E$3))*R$9</f>
        <v>600000</v>
      </c>
      <c r="S29" s="165">
        <f>(MIN(VALUE($G29),[1]Assu!$E$4))*S$9</f>
        <v>112500</v>
      </c>
      <c r="T29" s="165">
        <f>(MIN(VALUE($G29),[1]Assu!$E$5))*T$9</f>
        <v>75000</v>
      </c>
      <c r="U29" s="159">
        <f t="shared" si="6"/>
        <v>787500</v>
      </c>
      <c r="V29" s="159">
        <v>0</v>
      </c>
      <c r="W29" s="50">
        <f t="shared" si="7"/>
        <v>0</v>
      </c>
      <c r="X29" s="50">
        <f t="shared" si="1"/>
        <v>11000000</v>
      </c>
      <c r="Y29" s="159">
        <f t="shared" si="8"/>
        <v>11000000</v>
      </c>
      <c r="Z29" s="50">
        <f t="shared" si="2"/>
        <v>3669755</v>
      </c>
      <c r="AA29" s="290">
        <f t="shared" si="9"/>
        <v>183487.75</v>
      </c>
      <c r="AB29" s="159"/>
      <c r="AC29" s="166"/>
      <c r="AD29" s="164">
        <f t="shared" si="12"/>
        <v>14486267.25</v>
      </c>
      <c r="AE29" s="165">
        <f>(MIN(VALUE($G29),[1]Assu!$E$3))*AE$9</f>
        <v>1762500</v>
      </c>
      <c r="AF29" s="165">
        <f>(MIN(VALUE($G29),[1]Assu!$E$3))*AF$9</f>
        <v>2549999.9999999995</v>
      </c>
      <c r="AG29" s="165">
        <f t="shared" si="10"/>
        <v>1288104.5833333333</v>
      </c>
      <c r="AH29" s="165">
        <f t="shared" si="11"/>
        <v>183487.75</v>
      </c>
      <c r="AI29" s="48" t="s">
        <v>401</v>
      </c>
      <c r="AJ29" s="48" t="s">
        <v>393</v>
      </c>
      <c r="AK29" s="48"/>
      <c r="AL29" s="48"/>
      <c r="AM29" s="48" t="s">
        <v>301</v>
      </c>
      <c r="AN29" s="123" t="s">
        <v>318</v>
      </c>
      <c r="AO29" s="123" t="s">
        <v>319</v>
      </c>
      <c r="AP29" s="168" t="s">
        <v>160</v>
      </c>
    </row>
    <row r="30" spans="1:46">
      <c r="A30" s="156">
        <v>21</v>
      </c>
      <c r="B30" s="286" t="s">
        <v>398</v>
      </c>
      <c r="C30" s="245" t="s">
        <v>165</v>
      </c>
      <c r="D30" s="227" t="s">
        <v>368</v>
      </c>
      <c r="E30" s="342">
        <v>44256</v>
      </c>
      <c r="F30" s="171" t="s">
        <v>399</v>
      </c>
      <c r="G30" s="285">
        <v>7000000</v>
      </c>
      <c r="H30" s="287">
        <v>25</v>
      </c>
      <c r="I30" s="287">
        <v>0</v>
      </c>
      <c r="J30" s="287">
        <f t="shared" si="3"/>
        <v>25</v>
      </c>
      <c r="K30" s="242">
        <f t="shared" si="0"/>
        <v>7000000</v>
      </c>
      <c r="L30" s="50">
        <f>1800000</f>
        <v>1800000</v>
      </c>
      <c r="M30" s="162">
        <f t="shared" si="4"/>
        <v>8800000</v>
      </c>
      <c r="N30" s="248">
        <v>1702462</v>
      </c>
      <c r="O30" s="50"/>
      <c r="P30" s="50"/>
      <c r="Q30" s="164">
        <f t="shared" si="5"/>
        <v>10502462</v>
      </c>
      <c r="R30" s="165">
        <v>0</v>
      </c>
      <c r="S30" s="165">
        <v>0</v>
      </c>
      <c r="T30" s="165">
        <v>0</v>
      </c>
      <c r="U30" s="159">
        <f t="shared" si="6"/>
        <v>0</v>
      </c>
      <c r="V30" s="159">
        <v>0</v>
      </c>
      <c r="W30" s="50">
        <f t="shared" si="7"/>
        <v>0</v>
      </c>
      <c r="X30" s="50">
        <f t="shared" si="1"/>
        <v>11000000</v>
      </c>
      <c r="Y30" s="159">
        <f t="shared" si="8"/>
        <v>11000000</v>
      </c>
      <c r="Z30" s="50">
        <f t="shared" si="2"/>
        <v>0</v>
      </c>
      <c r="AA30" s="290">
        <f t="shared" si="9"/>
        <v>0</v>
      </c>
      <c r="AB30" s="159"/>
      <c r="AC30" s="166"/>
      <c r="AD30" s="164">
        <f t="shared" si="12"/>
        <v>10502462</v>
      </c>
      <c r="AE30" s="165"/>
      <c r="AF30" s="165"/>
      <c r="AG30" s="165">
        <f t="shared" si="10"/>
        <v>875205.16666666663</v>
      </c>
      <c r="AH30" s="165">
        <f t="shared" si="11"/>
        <v>0</v>
      </c>
      <c r="AI30" s="48" t="s">
        <v>401</v>
      </c>
      <c r="AJ30" s="48" t="s">
        <v>411</v>
      </c>
      <c r="AK30" s="48"/>
      <c r="AL30" s="48"/>
      <c r="AM30" s="48" t="s">
        <v>301</v>
      </c>
      <c r="AN30" s="123" t="s">
        <v>412</v>
      </c>
      <c r="AO30" s="123" t="s">
        <v>413</v>
      </c>
      <c r="AP30" s="168" t="s">
        <v>160</v>
      </c>
    </row>
    <row r="31" spans="1:46">
      <c r="A31" s="156">
        <v>22</v>
      </c>
      <c r="B31" s="286"/>
      <c r="C31" s="47"/>
      <c r="D31" s="47"/>
      <c r="E31" s="124"/>
      <c r="F31" s="247"/>
      <c r="G31" s="239">
        <v>0</v>
      </c>
      <c r="H31" s="287">
        <v>25</v>
      </c>
      <c r="I31" s="287">
        <v>0</v>
      </c>
      <c r="J31" s="287">
        <f t="shared" ref="J31" si="18">H31+I31</f>
        <v>25</v>
      </c>
      <c r="K31" s="242">
        <f t="shared" si="0"/>
        <v>0</v>
      </c>
      <c r="L31" s="50"/>
      <c r="M31" s="162">
        <f t="shared" si="4"/>
        <v>0</v>
      </c>
      <c r="N31" s="159"/>
      <c r="O31" s="50"/>
      <c r="P31" s="50"/>
      <c r="Q31" s="164">
        <f t="shared" si="5"/>
        <v>0</v>
      </c>
      <c r="R31" s="165">
        <v>0</v>
      </c>
      <c r="S31" s="165">
        <v>0</v>
      </c>
      <c r="T31" s="165">
        <v>0</v>
      </c>
      <c r="U31" s="159">
        <f t="shared" si="6"/>
        <v>0</v>
      </c>
      <c r="V31" s="159">
        <v>0</v>
      </c>
      <c r="W31" s="50">
        <f t="shared" ref="W31" si="19">V31*$W$9</f>
        <v>0</v>
      </c>
      <c r="X31" s="50">
        <f t="shared" si="1"/>
        <v>0</v>
      </c>
      <c r="Y31" s="159">
        <f t="shared" si="8"/>
        <v>0</v>
      </c>
      <c r="Z31" s="50">
        <f t="shared" si="2"/>
        <v>0</v>
      </c>
      <c r="AA31" s="290">
        <f t="shared" si="9"/>
        <v>0</v>
      </c>
      <c r="AB31" s="159"/>
      <c r="AC31" s="166"/>
      <c r="AD31" s="164">
        <f t="shared" si="12"/>
        <v>0</v>
      </c>
      <c r="AE31" s="165">
        <f>(MIN(VALUE($G31),[1]Assu!$E$3))*AE$9</f>
        <v>0</v>
      </c>
      <c r="AF31" s="165">
        <f>(MIN(VALUE($G31),[1]Assu!$E$3))*AF$9</f>
        <v>0</v>
      </c>
      <c r="AG31" s="165">
        <f t="shared" si="10"/>
        <v>0</v>
      </c>
      <c r="AH31" s="165">
        <f t="shared" ref="AH31" si="20">AA31</f>
        <v>0</v>
      </c>
      <c r="AI31" s="48"/>
      <c r="AJ31" s="48"/>
      <c r="AK31" s="48"/>
      <c r="AL31" s="48"/>
      <c r="AM31" s="52"/>
      <c r="AN31" s="123"/>
      <c r="AO31" s="123"/>
      <c r="AP31" s="168"/>
    </row>
    <row r="32" spans="1:46">
      <c r="A32" s="156"/>
      <c r="B32" s="157"/>
      <c r="C32" s="47"/>
      <c r="D32" s="47"/>
      <c r="E32" s="124"/>
      <c r="F32" s="247"/>
      <c r="G32" s="239"/>
      <c r="H32" s="287"/>
      <c r="I32" s="287"/>
      <c r="J32" s="287"/>
      <c r="K32" s="242"/>
      <c r="L32" s="161"/>
      <c r="M32" s="162"/>
      <c r="N32" s="159"/>
      <c r="O32" s="50"/>
      <c r="P32" s="50"/>
      <c r="Q32" s="164"/>
      <c r="R32" s="165"/>
      <c r="S32" s="165"/>
      <c r="T32" s="165"/>
      <c r="U32" s="159"/>
      <c r="V32" s="159"/>
      <c r="W32" s="50"/>
      <c r="X32" s="50"/>
      <c r="Y32" s="159"/>
      <c r="Z32" s="50"/>
      <c r="AA32" s="290"/>
      <c r="AB32" s="159"/>
      <c r="AC32" s="166"/>
      <c r="AD32" s="164"/>
      <c r="AE32" s="165"/>
      <c r="AF32" s="165"/>
      <c r="AG32" s="165"/>
      <c r="AH32" s="165"/>
      <c r="AI32" s="48"/>
      <c r="AJ32" s="48"/>
      <c r="AK32" s="48"/>
      <c r="AL32" s="48"/>
      <c r="AM32" s="167"/>
      <c r="AN32" s="123"/>
      <c r="AO32" s="168"/>
      <c r="AP32" s="168"/>
    </row>
    <row r="33" spans="1:42">
      <c r="A33" s="156"/>
      <c r="B33" s="157"/>
      <c r="C33" s="47"/>
      <c r="D33" s="47"/>
      <c r="E33" s="152"/>
      <c r="F33" s="171"/>
      <c r="G33" s="239"/>
      <c r="H33" s="287"/>
      <c r="I33" s="287"/>
      <c r="J33" s="287"/>
      <c r="K33" s="161"/>
      <c r="L33" s="161"/>
      <c r="M33" s="162"/>
      <c r="N33" s="159"/>
      <c r="O33" s="50"/>
      <c r="P33" s="50"/>
      <c r="Q33" s="164"/>
      <c r="R33" s="165"/>
      <c r="S33" s="165"/>
      <c r="T33" s="165"/>
      <c r="U33" s="159"/>
      <c r="V33" s="159"/>
      <c r="W33" s="159"/>
      <c r="X33" s="159"/>
      <c r="Y33" s="159"/>
      <c r="Z33" s="159"/>
      <c r="AA33" s="290"/>
      <c r="AB33" s="159"/>
      <c r="AC33" s="166"/>
      <c r="AD33" s="164"/>
      <c r="AE33" s="165"/>
      <c r="AF33" s="165"/>
      <c r="AG33" s="165"/>
      <c r="AH33" s="165"/>
      <c r="AI33" s="48"/>
      <c r="AJ33" s="153"/>
      <c r="AK33" s="153"/>
      <c r="AL33" s="153"/>
      <c r="AM33" s="167"/>
      <c r="AN33" s="168"/>
      <c r="AO33" s="168"/>
      <c r="AP33" s="168"/>
    </row>
    <row r="34" spans="1:42">
      <c r="A34" s="156"/>
      <c r="B34" s="157"/>
      <c r="C34" s="152"/>
      <c r="D34" s="152"/>
      <c r="E34" s="152"/>
      <c r="F34" s="171"/>
      <c r="G34" s="239"/>
      <c r="H34" s="160"/>
      <c r="I34" s="160"/>
      <c r="J34" s="160"/>
      <c r="K34" s="161"/>
      <c r="L34" s="161"/>
      <c r="M34" s="180"/>
      <c r="N34" s="159"/>
      <c r="O34" s="50"/>
      <c r="P34" s="163"/>
      <c r="Q34" s="164"/>
      <c r="R34" s="165"/>
      <c r="S34" s="165"/>
      <c r="T34" s="165"/>
      <c r="U34" s="159"/>
      <c r="V34" s="159"/>
      <c r="W34" s="159"/>
      <c r="X34" s="159"/>
      <c r="Y34" s="159"/>
      <c r="Z34" s="159"/>
      <c r="AA34" s="159"/>
      <c r="AB34" s="159"/>
      <c r="AC34" s="166"/>
      <c r="AD34" s="164"/>
      <c r="AE34" s="165"/>
      <c r="AF34" s="165"/>
      <c r="AG34" s="165"/>
      <c r="AH34" s="165"/>
      <c r="AI34" s="153"/>
      <c r="AJ34" s="153"/>
      <c r="AK34" s="153"/>
      <c r="AL34" s="153"/>
      <c r="AM34" s="167"/>
      <c r="AN34" s="168"/>
      <c r="AO34" s="168"/>
      <c r="AP34" s="168"/>
    </row>
    <row r="35" spans="1:42" s="176" customFormat="1">
      <c r="A35" s="177"/>
      <c r="B35" s="178"/>
      <c r="C35" s="153"/>
      <c r="D35" s="153"/>
      <c r="E35" s="153"/>
      <c r="F35" s="158"/>
      <c r="G35" s="179"/>
      <c r="H35" s="178"/>
      <c r="I35" s="178"/>
      <c r="J35" s="178"/>
      <c r="K35" s="180"/>
      <c r="L35" s="180"/>
      <c r="M35" s="180"/>
      <c r="N35" s="181"/>
      <c r="O35" s="181"/>
      <c r="P35" s="178"/>
      <c r="Q35" s="180"/>
      <c r="R35" s="165">
        <f>(MIN(VALUE($G35),Assu!$E$3))*R$9</f>
        <v>0</v>
      </c>
      <c r="S35" s="165">
        <f>(MIN(VALUE($G35),Assu!$E$3))*S$9</f>
        <v>0</v>
      </c>
      <c r="T35" s="165">
        <f>(MIN(VALUE($G35),Assu!$E$5))*T$9</f>
        <v>0</v>
      </c>
      <c r="U35" s="178"/>
      <c r="V35" s="182"/>
      <c r="W35" s="179"/>
      <c r="X35" s="179"/>
      <c r="Y35" s="179"/>
      <c r="Z35" s="178"/>
      <c r="AA35" s="178"/>
      <c r="AB35" s="181"/>
      <c r="AC35" s="181"/>
      <c r="AD35" s="182"/>
      <c r="AE35" s="165">
        <f>(MIN(VALUE($G35),Assu!$E$3))*AE$9</f>
        <v>0</v>
      </c>
      <c r="AF35" s="165">
        <f>(MIN(VALUE($G35),Assu!$E$3))*AF$9</f>
        <v>0</v>
      </c>
      <c r="AG35" s="182"/>
      <c r="AH35" s="182"/>
      <c r="AI35" s="153"/>
      <c r="AJ35" s="158"/>
      <c r="AK35" s="158"/>
      <c r="AL35" s="153"/>
      <c r="AM35" s="153"/>
      <c r="AN35" s="153"/>
      <c r="AO35" s="153"/>
      <c r="AP35" s="153"/>
    </row>
    <row r="36" spans="1:42" s="188" customFormat="1">
      <c r="A36" s="183"/>
      <c r="B36" s="180"/>
      <c r="C36" s="184"/>
      <c r="D36" s="184"/>
      <c r="E36" s="184"/>
      <c r="F36" s="185"/>
      <c r="G36" s="186">
        <f>SUM(G10:G34)</f>
        <v>203250000</v>
      </c>
      <c r="H36" s="186"/>
      <c r="I36" s="186"/>
      <c r="J36" s="186"/>
      <c r="K36" s="186">
        <f t="shared" ref="K36:AH36" si="21">SUM(K10:K34)</f>
        <v>194964000</v>
      </c>
      <c r="L36" s="186">
        <f t="shared" si="21"/>
        <v>119000000</v>
      </c>
      <c r="M36" s="186">
        <f t="shared" si="21"/>
        <v>313964000</v>
      </c>
      <c r="N36" s="186">
        <f t="shared" si="21"/>
        <v>21059942</v>
      </c>
      <c r="O36" s="186">
        <f t="shared" si="21"/>
        <v>0</v>
      </c>
      <c r="P36" s="186">
        <f t="shared" si="21"/>
        <v>2000000</v>
      </c>
      <c r="Q36" s="186">
        <f t="shared" si="21"/>
        <v>337023942</v>
      </c>
      <c r="R36" s="186">
        <f t="shared" si="21"/>
        <v>14300000</v>
      </c>
      <c r="S36" s="186">
        <f t="shared" si="21"/>
        <v>2681250</v>
      </c>
      <c r="T36" s="186">
        <f t="shared" si="21"/>
        <v>1787500</v>
      </c>
      <c r="U36" s="186">
        <f t="shared" si="21"/>
        <v>18768750</v>
      </c>
      <c r="V36" s="186">
        <f t="shared" si="21"/>
        <v>5</v>
      </c>
      <c r="W36" s="186">
        <f t="shared" si="21"/>
        <v>22000000</v>
      </c>
      <c r="X36" s="186">
        <f t="shared" si="21"/>
        <v>231000000</v>
      </c>
      <c r="Y36" s="186">
        <f t="shared" si="21"/>
        <v>253000000</v>
      </c>
      <c r="Z36" s="186">
        <f t="shared" si="21"/>
        <v>101317255</v>
      </c>
      <c r="AA36" s="186">
        <f t="shared" si="21"/>
        <v>15621862.75</v>
      </c>
      <c r="AB36" s="186">
        <f t="shared" si="21"/>
        <v>0</v>
      </c>
      <c r="AC36" s="186">
        <f t="shared" si="21"/>
        <v>0</v>
      </c>
      <c r="AD36" s="186">
        <f t="shared" si="21"/>
        <v>309133329.25</v>
      </c>
      <c r="AE36" s="186">
        <f t="shared" si="21"/>
        <v>42006250</v>
      </c>
      <c r="AF36" s="186">
        <f t="shared" si="21"/>
        <v>60775000</v>
      </c>
      <c r="AG36" s="186">
        <f t="shared" si="21"/>
        <v>28085328.5</v>
      </c>
      <c r="AH36" s="186">
        <f t="shared" si="21"/>
        <v>15621862.75</v>
      </c>
      <c r="AI36" s="153"/>
      <c r="AJ36" s="187"/>
      <c r="AK36" s="187"/>
      <c r="AL36" s="153"/>
      <c r="AM36" s="153"/>
      <c r="AN36" s="153"/>
      <c r="AO36" s="153"/>
      <c r="AP36" s="153"/>
    </row>
    <row r="37" spans="1:42" s="176" customFormat="1">
      <c r="C37" s="189"/>
      <c r="D37" s="189"/>
      <c r="E37" s="134"/>
      <c r="F37" s="134"/>
      <c r="H37" s="190"/>
      <c r="I37" s="190"/>
      <c r="J37" s="190"/>
      <c r="K37" s="191"/>
      <c r="L37" s="191"/>
      <c r="M37" s="192"/>
      <c r="N37" s="193"/>
      <c r="O37" s="193"/>
      <c r="Q37" s="191"/>
      <c r="R37" s="194"/>
      <c r="S37" s="194"/>
      <c r="T37" s="194"/>
      <c r="U37" s="195"/>
      <c r="V37" s="196"/>
      <c r="W37" s="195"/>
      <c r="X37" s="195"/>
      <c r="Y37" s="195"/>
      <c r="Z37" s="195"/>
      <c r="AA37" s="195"/>
      <c r="AB37" s="197"/>
      <c r="AC37" s="198"/>
      <c r="AD37" s="199"/>
      <c r="AF37" s="194"/>
      <c r="AG37" s="199"/>
      <c r="AH37" s="199"/>
      <c r="AI37" s="134"/>
      <c r="AJ37" s="134"/>
      <c r="AK37" s="134"/>
      <c r="AL37" s="134"/>
      <c r="AM37" s="134"/>
      <c r="AN37" s="134"/>
      <c r="AO37" s="134"/>
      <c r="AP37" s="134"/>
    </row>
    <row r="38" spans="1:42">
      <c r="E38" s="6"/>
      <c r="F38" s="212"/>
      <c r="G38" s="212"/>
      <c r="H38" s="212"/>
      <c r="I38" s="169"/>
      <c r="J38" s="169"/>
      <c r="R38" s="200"/>
      <c r="S38" s="200"/>
      <c r="T38" s="200"/>
      <c r="U38" s="200"/>
      <c r="V38" s="200"/>
      <c r="W38" s="200"/>
      <c r="X38" s="200"/>
      <c r="Y38" s="200"/>
      <c r="Z38" s="203"/>
      <c r="AA38" s="169"/>
      <c r="AB38" s="204"/>
      <c r="AC38" s="131" t="s">
        <v>414</v>
      </c>
      <c r="AD38" s="205">
        <f>AD36+AB36</f>
        <v>309133329.25</v>
      </c>
      <c r="AG38" s="302">
        <f>AD36+AF36+AG36</f>
        <v>397993657.75</v>
      </c>
      <c r="AH38" s="303">
        <f>AG38/Q36</f>
        <v>1.1809061854424574</v>
      </c>
    </row>
    <row r="39" spans="1:42">
      <c r="C39" s="207"/>
      <c r="D39" s="207"/>
      <c r="E39" s="6"/>
      <c r="F39" s="212"/>
      <c r="G39" s="212"/>
      <c r="H39" s="212"/>
      <c r="I39" s="169"/>
      <c r="J39" s="169"/>
      <c r="K39" s="169"/>
      <c r="L39" s="169"/>
      <c r="M39" s="208"/>
      <c r="R39" s="200"/>
      <c r="S39" s="200"/>
      <c r="T39" s="200"/>
      <c r="U39" s="200"/>
      <c r="V39" s="200"/>
      <c r="W39" s="200"/>
      <c r="X39" s="200"/>
      <c r="Y39" s="200"/>
      <c r="Z39" s="203"/>
      <c r="AA39" s="169"/>
      <c r="AB39" s="209" t="s">
        <v>100</v>
      </c>
      <c r="AC39" s="210" t="s">
        <v>87</v>
      </c>
      <c r="AD39" s="206">
        <f>AD10+AD12</f>
        <v>66470000</v>
      </c>
    </row>
    <row r="40" spans="1:42" ht="14.4">
      <c r="C40" s="207"/>
      <c r="D40" s="207"/>
      <c r="E40" s="7"/>
      <c r="F40" s="212"/>
      <c r="G40" s="212"/>
      <c r="H40" s="212"/>
      <c r="I40" s="169"/>
      <c r="J40" s="169"/>
      <c r="K40" s="169"/>
      <c r="L40" s="169"/>
      <c r="M40" s="208"/>
      <c r="R40" s="200"/>
      <c r="S40" s="200"/>
      <c r="T40" s="200"/>
      <c r="U40" s="200"/>
      <c r="V40" s="200"/>
      <c r="W40" s="200"/>
      <c r="X40" s="200"/>
      <c r="Y40" s="200"/>
      <c r="Z40" s="203"/>
      <c r="AA40" s="169"/>
      <c r="AB40" s="98" t="s">
        <v>415</v>
      </c>
      <c r="AC40" s="210" t="s">
        <v>87</v>
      </c>
      <c r="AD40" s="206">
        <f>AD27</f>
        <v>3640000</v>
      </c>
      <c r="AI40" s="219"/>
    </row>
    <row r="41" spans="1:42">
      <c r="C41" s="207"/>
      <c r="D41" s="207"/>
      <c r="E41" s="211"/>
      <c r="F41" s="212"/>
      <c r="G41" s="212"/>
      <c r="H41" s="212"/>
      <c r="I41" s="169"/>
      <c r="J41" s="212"/>
      <c r="K41" s="212"/>
      <c r="L41" s="212"/>
      <c r="M41" s="213"/>
      <c r="N41" s="213"/>
      <c r="O41" s="213"/>
      <c r="R41" s="200"/>
      <c r="S41" s="200"/>
      <c r="T41" s="200"/>
      <c r="U41" s="200"/>
      <c r="V41" s="200"/>
      <c r="W41" s="200"/>
      <c r="X41" s="200"/>
      <c r="Y41" s="200"/>
      <c r="Z41" s="203"/>
      <c r="AA41" s="169"/>
      <c r="AB41" s="98"/>
      <c r="AC41" s="210" t="s">
        <v>87</v>
      </c>
      <c r="AD41" s="206"/>
      <c r="AE41" s="241"/>
    </row>
    <row r="42" spans="1:42">
      <c r="C42" s="207"/>
      <c r="D42" s="207"/>
      <c r="E42" s="211"/>
      <c r="F42" s="212"/>
      <c r="G42" s="212"/>
      <c r="H42" s="212"/>
      <c r="I42" s="169"/>
      <c r="J42" s="212"/>
      <c r="K42" s="212"/>
      <c r="L42" s="212"/>
      <c r="M42" s="213"/>
      <c r="N42" s="213"/>
      <c r="O42" s="213"/>
      <c r="R42" s="169"/>
      <c r="S42" s="169"/>
      <c r="T42" s="169"/>
      <c r="U42" s="169"/>
      <c r="V42" s="169"/>
      <c r="W42" s="169"/>
      <c r="X42" s="169"/>
      <c r="Y42" s="169"/>
      <c r="Z42" s="214"/>
      <c r="AA42" s="169"/>
      <c r="AB42" s="209"/>
      <c r="AC42" s="215" t="s">
        <v>104</v>
      </c>
      <c r="AD42" s="205">
        <f>AD38-SUM(AD39:AD41)</f>
        <v>239023329.25</v>
      </c>
    </row>
    <row r="43" spans="1:42">
      <c r="C43" s="207"/>
      <c r="D43" s="207"/>
      <c r="E43" s="211"/>
      <c r="F43" s="212"/>
      <c r="G43" s="212"/>
      <c r="H43" s="212"/>
      <c r="I43" s="169"/>
      <c r="J43" s="212"/>
      <c r="K43" s="212"/>
      <c r="L43" s="212"/>
      <c r="M43" s="213"/>
      <c r="AC43" s="217"/>
    </row>
    <row r="44" spans="1:42">
      <c r="C44" s="207"/>
      <c r="D44" s="207"/>
      <c r="E44" s="211"/>
      <c r="F44" s="212"/>
      <c r="G44" s="212"/>
      <c r="H44" s="212"/>
      <c r="I44" s="169"/>
      <c r="J44" s="212"/>
      <c r="K44" s="212"/>
      <c r="L44" s="212"/>
      <c r="M44" s="213"/>
    </row>
    <row r="45" spans="1:42">
      <c r="C45" s="207"/>
      <c r="D45" s="207"/>
      <c r="E45" s="207"/>
      <c r="F45" s="207"/>
      <c r="G45" s="169"/>
      <c r="H45" s="169"/>
      <c r="I45" s="169"/>
      <c r="J45" s="212"/>
      <c r="K45" s="212"/>
      <c r="L45" s="212"/>
      <c r="M45" s="213"/>
      <c r="AD45" s="301"/>
    </row>
    <row r="46" spans="1:42">
      <c r="C46" s="207"/>
      <c r="D46" s="207"/>
      <c r="E46" s="207"/>
      <c r="F46" s="207"/>
      <c r="G46" s="169"/>
      <c r="H46" s="169"/>
      <c r="I46" s="169"/>
      <c r="J46" s="169"/>
      <c r="K46" s="218"/>
      <c r="L46" s="218"/>
      <c r="M46" s="208"/>
    </row>
    <row r="47" spans="1:42">
      <c r="C47" s="207"/>
      <c r="D47" s="207"/>
      <c r="E47" s="207"/>
      <c r="F47" s="207"/>
      <c r="G47" s="169"/>
      <c r="H47" s="169"/>
      <c r="I47" s="169"/>
      <c r="J47" s="169"/>
      <c r="K47" s="218"/>
      <c r="L47" s="218"/>
      <c r="M47" s="208"/>
    </row>
    <row r="48" spans="1:42">
      <c r="C48" s="207"/>
      <c r="D48" s="207"/>
      <c r="E48" s="207"/>
      <c r="F48" s="207"/>
      <c r="G48" s="169"/>
      <c r="H48" s="169"/>
      <c r="I48" s="169"/>
      <c r="J48" s="169"/>
      <c r="K48" s="218"/>
      <c r="L48" s="218"/>
      <c r="M48" s="208"/>
    </row>
    <row r="49" spans="1:46">
      <c r="C49" s="207"/>
      <c r="D49" s="207"/>
      <c r="E49" s="207"/>
      <c r="F49" s="207"/>
      <c r="G49" s="169"/>
      <c r="H49" s="169"/>
      <c r="I49" s="169"/>
      <c r="J49" s="169"/>
      <c r="K49" s="218"/>
      <c r="L49" s="218"/>
      <c r="M49" s="208"/>
    </row>
    <row r="50" spans="1:46">
      <c r="C50" s="207"/>
      <c r="D50" s="207"/>
      <c r="E50" s="207"/>
      <c r="F50" s="207"/>
      <c r="G50" s="169"/>
      <c r="H50" s="169"/>
      <c r="I50" s="169"/>
      <c r="J50" s="169"/>
      <c r="K50" s="218"/>
      <c r="L50" s="218"/>
      <c r="M50" s="208"/>
    </row>
    <row r="51" spans="1:46">
      <c r="C51" s="207"/>
      <c r="D51" s="207"/>
      <c r="E51" s="207"/>
      <c r="F51" s="207"/>
      <c r="G51" s="169"/>
      <c r="H51" s="169"/>
      <c r="I51" s="169"/>
      <c r="J51" s="169"/>
      <c r="K51" s="218"/>
      <c r="L51" s="218"/>
      <c r="M51" s="208"/>
    </row>
    <row r="52" spans="1:46">
      <c r="C52" s="207"/>
      <c r="D52" s="207"/>
      <c r="E52" s="207"/>
      <c r="F52" s="207"/>
      <c r="G52" s="169"/>
      <c r="H52" s="169"/>
      <c r="I52" s="169"/>
      <c r="J52" s="169"/>
      <c r="K52" s="218"/>
      <c r="L52" s="218"/>
      <c r="M52" s="208"/>
    </row>
    <row r="53" spans="1:46" s="202" customFormat="1">
      <c r="A53" s="132"/>
      <c r="B53" s="176"/>
      <c r="C53" s="207"/>
      <c r="D53" s="207"/>
      <c r="E53" s="207"/>
      <c r="F53" s="207"/>
      <c r="G53" s="169"/>
      <c r="H53" s="169"/>
      <c r="I53" s="169"/>
      <c r="J53" s="169"/>
      <c r="K53" s="218"/>
      <c r="L53" s="218"/>
      <c r="M53" s="208"/>
      <c r="P53" s="132"/>
      <c r="Q53" s="188"/>
      <c r="R53" s="132"/>
      <c r="S53" s="132"/>
      <c r="T53" s="132"/>
      <c r="U53" s="132"/>
      <c r="V53" s="132"/>
      <c r="W53" s="132"/>
      <c r="X53" s="132"/>
      <c r="Y53" s="132"/>
      <c r="Z53" s="216"/>
      <c r="AA53" s="132"/>
      <c r="AD53" s="132"/>
      <c r="AE53" s="132"/>
      <c r="AF53" s="132"/>
      <c r="AG53" s="132"/>
      <c r="AH53" s="132"/>
      <c r="AI53" s="134"/>
      <c r="AJ53" s="133"/>
      <c r="AK53" s="133"/>
      <c r="AL53" s="134"/>
      <c r="AM53" s="134"/>
      <c r="AN53" s="134"/>
      <c r="AO53" s="134"/>
      <c r="AP53" s="134"/>
      <c r="AQ53" s="132"/>
      <c r="AR53" s="132"/>
      <c r="AS53" s="132"/>
      <c r="AT53" s="132"/>
    </row>
    <row r="54" spans="1:46" s="202" customFormat="1">
      <c r="A54" s="132"/>
      <c r="B54" s="176"/>
      <c r="C54" s="207"/>
      <c r="D54" s="207"/>
      <c r="E54" s="207"/>
      <c r="F54" s="207"/>
      <c r="G54" s="169"/>
      <c r="H54" s="169"/>
      <c r="I54" s="169"/>
      <c r="J54" s="169"/>
      <c r="K54" s="218"/>
      <c r="L54" s="218"/>
      <c r="M54" s="208"/>
      <c r="P54" s="132"/>
      <c r="Q54" s="188"/>
      <c r="R54" s="132"/>
      <c r="S54" s="132"/>
      <c r="T54" s="132"/>
      <c r="U54" s="132"/>
      <c r="V54" s="132"/>
      <c r="W54" s="132"/>
      <c r="X54" s="132"/>
      <c r="Y54" s="132"/>
      <c r="Z54" s="216"/>
      <c r="AA54" s="132"/>
      <c r="AD54" s="132"/>
      <c r="AE54" s="132"/>
      <c r="AF54" s="132"/>
      <c r="AG54" s="132"/>
      <c r="AH54" s="132"/>
      <c r="AI54" s="134"/>
      <c r="AJ54" s="133"/>
      <c r="AK54" s="133"/>
      <c r="AL54" s="134"/>
      <c r="AM54" s="134"/>
      <c r="AN54" s="134"/>
      <c r="AO54" s="134"/>
      <c r="AP54" s="134"/>
      <c r="AQ54" s="132"/>
      <c r="AR54" s="132"/>
      <c r="AS54" s="132"/>
      <c r="AT54" s="132"/>
    </row>
    <row r="55" spans="1:46" s="202" customFormat="1">
      <c r="A55" s="132"/>
      <c r="B55" s="176"/>
      <c r="C55" s="207"/>
      <c r="D55" s="207"/>
      <c r="E55" s="207"/>
      <c r="F55" s="207"/>
      <c r="G55" s="169"/>
      <c r="H55" s="169"/>
      <c r="I55" s="169"/>
      <c r="J55" s="169"/>
      <c r="K55" s="218"/>
      <c r="L55" s="218"/>
      <c r="M55" s="208"/>
      <c r="P55" s="132"/>
      <c r="Q55" s="188"/>
      <c r="R55" s="132"/>
      <c r="S55" s="132"/>
      <c r="T55" s="132"/>
      <c r="U55" s="132"/>
      <c r="V55" s="132"/>
      <c r="W55" s="132"/>
      <c r="X55" s="132"/>
      <c r="Y55" s="132"/>
      <c r="Z55" s="216"/>
      <c r="AA55" s="132"/>
      <c r="AD55" s="132"/>
      <c r="AE55" s="132"/>
      <c r="AF55" s="132"/>
      <c r="AG55" s="132"/>
      <c r="AH55" s="132"/>
      <c r="AI55" s="134"/>
      <c r="AJ55" s="133"/>
      <c r="AK55" s="133"/>
      <c r="AL55" s="134"/>
      <c r="AM55" s="134"/>
      <c r="AN55" s="134"/>
      <c r="AO55" s="134"/>
      <c r="AP55" s="134"/>
      <c r="AQ55" s="132"/>
      <c r="AR55" s="132"/>
      <c r="AS55" s="132"/>
      <c r="AT55" s="132"/>
    </row>
    <row r="56" spans="1:46" s="202" customFormat="1">
      <c r="A56" s="132"/>
      <c r="B56" s="176"/>
      <c r="C56" s="207"/>
      <c r="D56" s="207"/>
      <c r="E56" s="207"/>
      <c r="F56" s="207"/>
      <c r="G56" s="169"/>
      <c r="H56" s="169"/>
      <c r="I56" s="169"/>
      <c r="J56" s="169"/>
      <c r="K56" s="218"/>
      <c r="L56" s="218"/>
      <c r="M56" s="208"/>
      <c r="P56" s="132"/>
      <c r="Q56" s="188"/>
      <c r="R56" s="132"/>
      <c r="S56" s="132"/>
      <c r="T56" s="132"/>
      <c r="U56" s="132"/>
      <c r="V56" s="132"/>
      <c r="W56" s="132"/>
      <c r="X56" s="132"/>
      <c r="Y56" s="132"/>
      <c r="Z56" s="216"/>
      <c r="AA56" s="132"/>
      <c r="AD56" s="132"/>
      <c r="AE56" s="132"/>
      <c r="AF56" s="132"/>
      <c r="AG56" s="132"/>
      <c r="AH56" s="132"/>
      <c r="AI56" s="134"/>
      <c r="AJ56" s="133"/>
      <c r="AK56" s="133"/>
      <c r="AL56" s="134"/>
      <c r="AM56" s="134"/>
      <c r="AN56" s="134"/>
      <c r="AO56" s="134"/>
      <c r="AP56" s="134"/>
      <c r="AQ56" s="132"/>
      <c r="AR56" s="132"/>
      <c r="AS56" s="132"/>
      <c r="AT56" s="132"/>
    </row>
    <row r="57" spans="1:46" s="202" customFormat="1">
      <c r="A57" s="132"/>
      <c r="B57" s="176"/>
      <c r="C57" s="207"/>
      <c r="D57" s="207"/>
      <c r="E57" s="207"/>
      <c r="F57" s="207"/>
      <c r="G57" s="169"/>
      <c r="H57" s="169"/>
      <c r="I57" s="169"/>
      <c r="J57" s="169"/>
      <c r="K57" s="218"/>
      <c r="L57" s="218"/>
      <c r="M57" s="208"/>
      <c r="P57" s="132"/>
      <c r="Q57" s="188"/>
      <c r="R57" s="132"/>
      <c r="S57" s="132"/>
      <c r="T57" s="132"/>
      <c r="U57" s="132"/>
      <c r="V57" s="132"/>
      <c r="W57" s="132"/>
      <c r="X57" s="132"/>
      <c r="Y57" s="132"/>
      <c r="Z57" s="216"/>
      <c r="AA57" s="132"/>
      <c r="AD57" s="132"/>
      <c r="AE57" s="132"/>
      <c r="AF57" s="132"/>
      <c r="AG57" s="132"/>
      <c r="AH57" s="132"/>
      <c r="AI57" s="134"/>
      <c r="AJ57" s="133"/>
      <c r="AK57" s="133"/>
      <c r="AL57" s="134"/>
      <c r="AM57" s="134"/>
      <c r="AN57" s="134"/>
      <c r="AO57" s="134"/>
      <c r="AP57" s="134"/>
      <c r="AQ57" s="132"/>
      <c r="AR57" s="132"/>
      <c r="AS57" s="132"/>
      <c r="AT57" s="132"/>
    </row>
    <row r="58" spans="1:46" s="202" customFormat="1">
      <c r="A58" s="132"/>
      <c r="B58" s="176"/>
      <c r="C58" s="207"/>
      <c r="D58" s="207"/>
      <c r="E58" s="207"/>
      <c r="F58" s="207"/>
      <c r="G58" s="169"/>
      <c r="H58" s="169"/>
      <c r="I58" s="169"/>
      <c r="J58" s="169"/>
      <c r="K58" s="218"/>
      <c r="L58" s="218"/>
      <c r="M58" s="208"/>
      <c r="P58" s="132"/>
      <c r="Q58" s="188"/>
      <c r="R58" s="132"/>
      <c r="S58" s="132"/>
      <c r="T58" s="132"/>
      <c r="U58" s="132"/>
      <c r="V58" s="132"/>
      <c r="W58" s="132"/>
      <c r="X58" s="132"/>
      <c r="Y58" s="132"/>
      <c r="Z58" s="216"/>
      <c r="AA58" s="132"/>
      <c r="AD58" s="132"/>
      <c r="AE58" s="132"/>
      <c r="AF58" s="132"/>
      <c r="AG58" s="132"/>
      <c r="AH58" s="132"/>
      <c r="AI58" s="134"/>
      <c r="AJ58" s="133"/>
      <c r="AK58" s="133"/>
      <c r="AL58" s="134"/>
      <c r="AM58" s="134"/>
      <c r="AN58" s="134"/>
      <c r="AO58" s="134"/>
      <c r="AP58" s="134"/>
      <c r="AQ58" s="132"/>
      <c r="AR58" s="132"/>
      <c r="AS58" s="132"/>
      <c r="AT58" s="132"/>
    </row>
    <row r="59" spans="1:46" s="202" customFormat="1">
      <c r="A59" s="132"/>
      <c r="B59" s="176"/>
      <c r="C59" s="207"/>
      <c r="D59" s="207"/>
      <c r="E59" s="207"/>
      <c r="F59" s="207"/>
      <c r="G59" s="169"/>
      <c r="H59" s="169"/>
      <c r="I59" s="169"/>
      <c r="J59" s="169"/>
      <c r="K59" s="218"/>
      <c r="L59" s="218"/>
      <c r="M59" s="208"/>
      <c r="P59" s="132"/>
      <c r="Q59" s="188"/>
      <c r="R59" s="132"/>
      <c r="S59" s="132"/>
      <c r="T59" s="132"/>
      <c r="U59" s="132"/>
      <c r="V59" s="132"/>
      <c r="W59" s="132"/>
      <c r="X59" s="132"/>
      <c r="Y59" s="132"/>
      <c r="Z59" s="216"/>
      <c r="AA59" s="132"/>
      <c r="AD59" s="132"/>
      <c r="AE59" s="132"/>
      <c r="AF59" s="132"/>
      <c r="AG59" s="132"/>
      <c r="AH59" s="132"/>
      <c r="AI59" s="134"/>
      <c r="AJ59" s="133"/>
      <c r="AK59" s="133"/>
      <c r="AL59" s="134"/>
      <c r="AM59" s="134"/>
      <c r="AN59" s="134"/>
      <c r="AO59" s="134"/>
      <c r="AP59" s="134"/>
      <c r="AQ59" s="132"/>
      <c r="AR59" s="132"/>
      <c r="AS59" s="132"/>
      <c r="AT59" s="132"/>
    </row>
    <row r="60" spans="1:46" s="202" customFormat="1">
      <c r="A60" s="132"/>
      <c r="B60" s="176"/>
      <c r="C60" s="207"/>
      <c r="D60" s="207"/>
      <c r="E60" s="207"/>
      <c r="F60" s="207"/>
      <c r="G60" s="169"/>
      <c r="H60" s="169"/>
      <c r="I60" s="169"/>
      <c r="J60" s="169"/>
      <c r="K60" s="218"/>
      <c r="L60" s="218"/>
      <c r="M60" s="208"/>
      <c r="P60" s="132"/>
      <c r="Q60" s="188"/>
      <c r="R60" s="132"/>
      <c r="S60" s="132"/>
      <c r="T60" s="132"/>
      <c r="U60" s="132"/>
      <c r="V60" s="132"/>
      <c r="W60" s="132"/>
      <c r="X60" s="132"/>
      <c r="Y60" s="132"/>
      <c r="Z60" s="216"/>
      <c r="AA60" s="132"/>
      <c r="AD60" s="132"/>
      <c r="AE60" s="132"/>
      <c r="AF60" s="132"/>
      <c r="AG60" s="132"/>
      <c r="AH60" s="132"/>
      <c r="AI60" s="134"/>
      <c r="AJ60" s="133"/>
      <c r="AK60" s="133"/>
      <c r="AL60" s="134"/>
      <c r="AM60" s="134"/>
      <c r="AN60" s="134"/>
      <c r="AO60" s="134"/>
      <c r="AP60" s="134"/>
      <c r="AQ60" s="132"/>
      <c r="AR60" s="132"/>
      <c r="AS60" s="132"/>
      <c r="AT60" s="132"/>
    </row>
    <row r="61" spans="1:46" s="202" customFormat="1">
      <c r="A61" s="132"/>
      <c r="B61" s="176"/>
      <c r="C61" s="207"/>
      <c r="D61" s="207"/>
      <c r="E61" s="207"/>
      <c r="F61" s="207"/>
      <c r="G61" s="169"/>
      <c r="H61" s="169"/>
      <c r="I61" s="169"/>
      <c r="J61" s="169"/>
      <c r="K61" s="218"/>
      <c r="L61" s="218"/>
      <c r="M61" s="208"/>
      <c r="P61" s="132"/>
      <c r="Q61" s="188"/>
      <c r="R61" s="132"/>
      <c r="S61" s="132"/>
      <c r="T61" s="132"/>
      <c r="U61" s="132"/>
      <c r="V61" s="132"/>
      <c r="W61" s="132"/>
      <c r="X61" s="132"/>
      <c r="Y61" s="132"/>
      <c r="Z61" s="216"/>
      <c r="AA61" s="132"/>
      <c r="AD61" s="132"/>
      <c r="AE61" s="132"/>
      <c r="AF61" s="132"/>
      <c r="AG61" s="132"/>
      <c r="AH61" s="132"/>
      <c r="AI61" s="134"/>
      <c r="AJ61" s="133"/>
      <c r="AK61" s="133"/>
      <c r="AL61" s="134"/>
      <c r="AM61" s="134"/>
      <c r="AN61" s="134"/>
      <c r="AO61" s="134"/>
      <c r="AP61" s="134"/>
      <c r="AQ61" s="132"/>
      <c r="AR61" s="132"/>
      <c r="AS61" s="132"/>
      <c r="AT61" s="132"/>
    </row>
    <row r="62" spans="1:46" s="202" customFormat="1">
      <c r="A62" s="132"/>
      <c r="B62" s="176"/>
      <c r="C62" s="207"/>
      <c r="D62" s="207"/>
      <c r="E62" s="207"/>
      <c r="F62" s="207"/>
      <c r="G62" s="169"/>
      <c r="H62" s="169"/>
      <c r="I62" s="169"/>
      <c r="J62" s="169"/>
      <c r="K62" s="218"/>
      <c r="L62" s="218"/>
      <c r="M62" s="208"/>
      <c r="P62" s="132"/>
      <c r="Q62" s="188"/>
      <c r="R62" s="132"/>
      <c r="S62" s="132"/>
      <c r="T62" s="132"/>
      <c r="U62" s="132"/>
      <c r="V62" s="132"/>
      <c r="W62" s="132"/>
      <c r="X62" s="132"/>
      <c r="Y62" s="132"/>
      <c r="Z62" s="216"/>
      <c r="AA62" s="132"/>
      <c r="AD62" s="132"/>
      <c r="AE62" s="132"/>
      <c r="AF62" s="132"/>
      <c r="AG62" s="132"/>
      <c r="AH62" s="132"/>
      <c r="AI62" s="134"/>
      <c r="AJ62" s="133"/>
      <c r="AK62" s="133"/>
      <c r="AL62" s="134"/>
      <c r="AM62" s="134"/>
      <c r="AN62" s="134"/>
      <c r="AO62" s="134"/>
      <c r="AP62" s="134"/>
      <c r="AQ62" s="132"/>
      <c r="AR62" s="132"/>
      <c r="AS62" s="132"/>
      <c r="AT62" s="132"/>
    </row>
    <row r="63" spans="1:46" s="202" customFormat="1">
      <c r="A63" s="132"/>
      <c r="B63" s="176"/>
      <c r="C63" s="207"/>
      <c r="D63" s="207"/>
      <c r="E63" s="207"/>
      <c r="F63" s="207"/>
      <c r="G63" s="169"/>
      <c r="H63" s="169"/>
      <c r="I63" s="169"/>
      <c r="J63" s="169"/>
      <c r="K63" s="218"/>
      <c r="L63" s="218"/>
      <c r="M63" s="208"/>
      <c r="P63" s="132"/>
      <c r="Q63" s="188"/>
      <c r="R63" s="132"/>
      <c r="S63" s="132"/>
      <c r="T63" s="132"/>
      <c r="U63" s="132"/>
      <c r="V63" s="132"/>
      <c r="W63" s="132"/>
      <c r="X63" s="132"/>
      <c r="Y63" s="132"/>
      <c r="Z63" s="216"/>
      <c r="AA63" s="132"/>
      <c r="AD63" s="132"/>
      <c r="AE63" s="132"/>
      <c r="AF63" s="132"/>
      <c r="AG63" s="132"/>
      <c r="AH63" s="132"/>
      <c r="AI63" s="134"/>
      <c r="AJ63" s="133"/>
      <c r="AK63" s="133"/>
      <c r="AL63" s="134"/>
      <c r="AM63" s="134"/>
      <c r="AN63" s="134"/>
      <c r="AO63" s="134"/>
      <c r="AP63" s="134"/>
      <c r="AQ63" s="132"/>
      <c r="AR63" s="132"/>
      <c r="AS63" s="132"/>
      <c r="AT63" s="132"/>
    </row>
    <row r="64" spans="1:46" s="202" customFormat="1">
      <c r="A64" s="132"/>
      <c r="B64" s="176"/>
      <c r="C64" s="207"/>
      <c r="D64" s="207"/>
      <c r="E64" s="207"/>
      <c r="F64" s="207"/>
      <c r="G64" s="169"/>
      <c r="H64" s="169"/>
      <c r="I64" s="169"/>
      <c r="J64" s="169"/>
      <c r="K64" s="218"/>
      <c r="L64" s="218"/>
      <c r="M64" s="208"/>
      <c r="P64" s="132"/>
      <c r="Q64" s="188"/>
      <c r="R64" s="132"/>
      <c r="S64" s="132"/>
      <c r="T64" s="132"/>
      <c r="U64" s="132"/>
      <c r="V64" s="132"/>
      <c r="W64" s="132"/>
      <c r="X64" s="132"/>
      <c r="Y64" s="132"/>
      <c r="Z64" s="216"/>
      <c r="AA64" s="132"/>
      <c r="AD64" s="132"/>
      <c r="AE64" s="132"/>
      <c r="AF64" s="132"/>
      <c r="AG64" s="132"/>
      <c r="AH64" s="132"/>
      <c r="AI64" s="134"/>
      <c r="AJ64" s="133"/>
      <c r="AK64" s="133"/>
      <c r="AL64" s="134"/>
      <c r="AM64" s="134"/>
      <c r="AN64" s="134"/>
      <c r="AO64" s="134"/>
      <c r="AP64" s="134"/>
      <c r="AQ64" s="132"/>
      <c r="AR64" s="132"/>
      <c r="AS64" s="132"/>
      <c r="AT64" s="132"/>
    </row>
    <row r="65" spans="1:46" s="202" customFormat="1">
      <c r="A65" s="132"/>
      <c r="B65" s="176"/>
      <c r="C65" s="207"/>
      <c r="D65" s="207"/>
      <c r="E65" s="207"/>
      <c r="F65" s="207"/>
      <c r="G65" s="169"/>
      <c r="H65" s="169"/>
      <c r="I65" s="169"/>
      <c r="J65" s="169"/>
      <c r="K65" s="218"/>
      <c r="L65" s="218"/>
      <c r="M65" s="208"/>
      <c r="P65" s="132"/>
      <c r="Q65" s="188"/>
      <c r="R65" s="132"/>
      <c r="S65" s="132"/>
      <c r="T65" s="132"/>
      <c r="U65" s="132"/>
      <c r="V65" s="132"/>
      <c r="W65" s="132"/>
      <c r="X65" s="132"/>
      <c r="Y65" s="132"/>
      <c r="Z65" s="216"/>
      <c r="AA65" s="132"/>
      <c r="AD65" s="132"/>
      <c r="AE65" s="132"/>
      <c r="AF65" s="132"/>
      <c r="AG65" s="132"/>
      <c r="AH65" s="132"/>
      <c r="AI65" s="134"/>
      <c r="AJ65" s="133"/>
      <c r="AK65" s="133"/>
      <c r="AL65" s="134"/>
      <c r="AM65" s="134"/>
      <c r="AN65" s="134"/>
      <c r="AO65" s="134"/>
      <c r="AP65" s="134"/>
      <c r="AQ65" s="132"/>
      <c r="AR65" s="132"/>
      <c r="AS65" s="132"/>
      <c r="AT65" s="132"/>
    </row>
    <row r="66" spans="1:46" s="202" customFormat="1">
      <c r="A66" s="132"/>
      <c r="B66" s="176"/>
      <c r="C66" s="207"/>
      <c r="D66" s="207"/>
      <c r="E66" s="207"/>
      <c r="F66" s="207"/>
      <c r="G66" s="169"/>
      <c r="H66" s="169"/>
      <c r="I66" s="169"/>
      <c r="J66" s="169"/>
      <c r="K66" s="218"/>
      <c r="L66" s="218"/>
      <c r="M66" s="208"/>
      <c r="P66" s="132"/>
      <c r="Q66" s="188"/>
      <c r="R66" s="132"/>
      <c r="S66" s="132"/>
      <c r="T66" s="132"/>
      <c r="U66" s="132"/>
      <c r="V66" s="132"/>
      <c r="W66" s="132"/>
      <c r="X66" s="132"/>
      <c r="Y66" s="132"/>
      <c r="Z66" s="216"/>
      <c r="AA66" s="132"/>
      <c r="AD66" s="132"/>
      <c r="AE66" s="132"/>
      <c r="AF66" s="132"/>
      <c r="AG66" s="132"/>
      <c r="AH66" s="132"/>
      <c r="AI66" s="134"/>
      <c r="AJ66" s="133"/>
      <c r="AK66" s="133"/>
      <c r="AL66" s="134"/>
      <c r="AM66" s="134"/>
      <c r="AN66" s="134"/>
      <c r="AO66" s="134"/>
      <c r="AP66" s="134"/>
      <c r="AQ66" s="132"/>
      <c r="AR66" s="132"/>
      <c r="AS66" s="132"/>
      <c r="AT66" s="132"/>
    </row>
    <row r="67" spans="1:46" s="202" customFormat="1">
      <c r="A67" s="132"/>
      <c r="B67" s="176"/>
      <c r="C67" s="207"/>
      <c r="D67" s="207"/>
      <c r="E67" s="207"/>
      <c r="F67" s="207"/>
      <c r="G67" s="169"/>
      <c r="H67" s="169"/>
      <c r="I67" s="169"/>
      <c r="J67" s="169"/>
      <c r="K67" s="218"/>
      <c r="L67" s="218"/>
      <c r="M67" s="208"/>
      <c r="P67" s="132"/>
      <c r="Q67" s="188"/>
      <c r="R67" s="132"/>
      <c r="S67" s="132"/>
      <c r="T67" s="132"/>
      <c r="U67" s="132"/>
      <c r="V67" s="132"/>
      <c r="W67" s="132"/>
      <c r="X67" s="132"/>
      <c r="Y67" s="132"/>
      <c r="Z67" s="216"/>
      <c r="AA67" s="132"/>
      <c r="AD67" s="132"/>
      <c r="AE67" s="132"/>
      <c r="AF67" s="132"/>
      <c r="AG67" s="132"/>
      <c r="AH67" s="132"/>
      <c r="AI67" s="134"/>
      <c r="AJ67" s="133"/>
      <c r="AK67" s="133"/>
      <c r="AL67" s="134"/>
      <c r="AM67" s="134"/>
      <c r="AN67" s="134"/>
      <c r="AO67" s="134"/>
      <c r="AP67" s="134"/>
      <c r="AQ67" s="132"/>
      <c r="AR67" s="132"/>
      <c r="AS67" s="132"/>
      <c r="AT67" s="132"/>
    </row>
    <row r="68" spans="1:46" s="202" customFormat="1">
      <c r="A68" s="132"/>
      <c r="B68" s="176"/>
      <c r="C68" s="207"/>
      <c r="D68" s="207"/>
      <c r="E68" s="207"/>
      <c r="F68" s="207"/>
      <c r="G68" s="169"/>
      <c r="H68" s="169"/>
      <c r="I68" s="169"/>
      <c r="J68" s="169"/>
      <c r="K68" s="218"/>
      <c r="L68" s="218"/>
      <c r="M68" s="208"/>
      <c r="P68" s="132"/>
      <c r="Q68" s="188"/>
      <c r="R68" s="132"/>
      <c r="S68" s="132"/>
      <c r="T68" s="132"/>
      <c r="U68" s="132"/>
      <c r="V68" s="132"/>
      <c r="W68" s="132"/>
      <c r="X68" s="132"/>
      <c r="Y68" s="132"/>
      <c r="Z68" s="216"/>
      <c r="AA68" s="132"/>
      <c r="AD68" s="132"/>
      <c r="AE68" s="132"/>
      <c r="AF68" s="132"/>
      <c r="AG68" s="132"/>
      <c r="AH68" s="132"/>
      <c r="AI68" s="134"/>
      <c r="AJ68" s="133"/>
      <c r="AK68" s="133"/>
      <c r="AL68" s="134"/>
      <c r="AM68" s="134"/>
      <c r="AN68" s="134"/>
      <c r="AO68" s="134"/>
      <c r="AP68" s="134"/>
      <c r="AQ68" s="132"/>
      <c r="AR68" s="132"/>
      <c r="AS68" s="132"/>
      <c r="AT68" s="132"/>
    </row>
    <row r="69" spans="1:46" s="202" customFormat="1">
      <c r="A69" s="132"/>
      <c r="B69" s="176"/>
      <c r="C69" s="207"/>
      <c r="D69" s="207"/>
      <c r="E69" s="207"/>
      <c r="F69" s="207"/>
      <c r="G69" s="169"/>
      <c r="H69" s="169"/>
      <c r="I69" s="169"/>
      <c r="J69" s="169"/>
      <c r="K69" s="218"/>
      <c r="L69" s="218"/>
      <c r="M69" s="208"/>
      <c r="P69" s="132"/>
      <c r="Q69" s="188"/>
      <c r="R69" s="132"/>
      <c r="S69" s="132"/>
      <c r="T69" s="132"/>
      <c r="U69" s="132"/>
      <c r="V69" s="132"/>
      <c r="W69" s="132"/>
      <c r="X69" s="132"/>
      <c r="Y69" s="132"/>
      <c r="Z69" s="216"/>
      <c r="AA69" s="132"/>
      <c r="AD69" s="132"/>
      <c r="AE69" s="132"/>
      <c r="AF69" s="132"/>
      <c r="AG69" s="132"/>
      <c r="AH69" s="132"/>
      <c r="AI69" s="134"/>
      <c r="AJ69" s="133"/>
      <c r="AK69" s="133"/>
      <c r="AL69" s="134"/>
      <c r="AM69" s="134"/>
      <c r="AN69" s="134"/>
      <c r="AO69" s="134"/>
      <c r="AP69" s="134"/>
      <c r="AQ69" s="132"/>
      <c r="AR69" s="132"/>
      <c r="AS69" s="132"/>
      <c r="AT69" s="132"/>
    </row>
    <row r="70" spans="1:46" s="202" customFormat="1">
      <c r="A70" s="132"/>
      <c r="B70" s="176"/>
      <c r="C70" s="207"/>
      <c r="D70" s="207"/>
      <c r="E70" s="207"/>
      <c r="F70" s="207"/>
      <c r="G70" s="169"/>
      <c r="H70" s="169"/>
      <c r="I70" s="169"/>
      <c r="J70" s="169"/>
      <c r="K70" s="218"/>
      <c r="L70" s="218"/>
      <c r="M70" s="208"/>
      <c r="P70" s="132"/>
      <c r="Q70" s="188"/>
      <c r="R70" s="132"/>
      <c r="S70" s="132"/>
      <c r="T70" s="132"/>
      <c r="U70" s="132"/>
      <c r="V70" s="132"/>
      <c r="W70" s="132"/>
      <c r="X70" s="132"/>
      <c r="Y70" s="132"/>
      <c r="Z70" s="216"/>
      <c r="AA70" s="132"/>
      <c r="AD70" s="132"/>
      <c r="AE70" s="132"/>
      <c r="AF70" s="132"/>
      <c r="AG70" s="132"/>
      <c r="AH70" s="132"/>
      <c r="AI70" s="134"/>
      <c r="AJ70" s="133"/>
      <c r="AK70" s="133"/>
      <c r="AL70" s="134"/>
      <c r="AM70" s="134"/>
      <c r="AN70" s="134"/>
      <c r="AO70" s="134"/>
      <c r="AP70" s="134"/>
      <c r="AQ70" s="132"/>
      <c r="AR70" s="132"/>
      <c r="AS70" s="132"/>
      <c r="AT70" s="132"/>
    </row>
    <row r="71" spans="1:46" s="202" customFormat="1">
      <c r="A71" s="132"/>
      <c r="B71" s="176"/>
      <c r="C71" s="207"/>
      <c r="D71" s="207"/>
      <c r="E71" s="207"/>
      <c r="F71" s="207"/>
      <c r="G71" s="169"/>
      <c r="H71" s="169"/>
      <c r="I71" s="169"/>
      <c r="J71" s="169"/>
      <c r="K71" s="218"/>
      <c r="L71" s="218"/>
      <c r="M71" s="208"/>
      <c r="P71" s="132"/>
      <c r="Q71" s="188"/>
      <c r="R71" s="132"/>
      <c r="S71" s="132"/>
      <c r="T71" s="132"/>
      <c r="U71" s="132"/>
      <c r="V71" s="132"/>
      <c r="W71" s="132"/>
      <c r="X71" s="132"/>
      <c r="Y71" s="132"/>
      <c r="Z71" s="216"/>
      <c r="AA71" s="132"/>
      <c r="AD71" s="132"/>
      <c r="AE71" s="132"/>
      <c r="AF71" s="132"/>
      <c r="AG71" s="132"/>
      <c r="AH71" s="132"/>
      <c r="AI71" s="134"/>
      <c r="AJ71" s="133"/>
      <c r="AK71" s="133"/>
      <c r="AL71" s="134"/>
      <c r="AM71" s="134"/>
      <c r="AN71" s="134"/>
      <c r="AO71" s="134"/>
      <c r="AP71" s="134"/>
      <c r="AQ71" s="132"/>
      <c r="AR71" s="132"/>
      <c r="AS71" s="132"/>
      <c r="AT71" s="132"/>
    </row>
    <row r="72" spans="1:46" s="202" customFormat="1">
      <c r="A72" s="132"/>
      <c r="B72" s="176"/>
      <c r="C72" s="207"/>
      <c r="D72" s="207"/>
      <c r="E72" s="207"/>
      <c r="F72" s="207"/>
      <c r="G72" s="169"/>
      <c r="H72" s="169"/>
      <c r="I72" s="169"/>
      <c r="J72" s="169"/>
      <c r="K72" s="218"/>
      <c r="L72" s="218"/>
      <c r="M72" s="208"/>
      <c r="P72" s="132"/>
      <c r="Q72" s="188"/>
      <c r="R72" s="132"/>
      <c r="S72" s="132"/>
      <c r="T72" s="132"/>
      <c r="U72" s="132"/>
      <c r="V72" s="132"/>
      <c r="W72" s="132"/>
      <c r="X72" s="132"/>
      <c r="Y72" s="132"/>
      <c r="Z72" s="216"/>
      <c r="AA72" s="132"/>
      <c r="AD72" s="132"/>
      <c r="AE72" s="132"/>
      <c r="AF72" s="132"/>
      <c r="AG72" s="132"/>
      <c r="AH72" s="132"/>
      <c r="AI72" s="134"/>
      <c r="AJ72" s="133"/>
      <c r="AK72" s="133"/>
      <c r="AL72" s="134"/>
      <c r="AM72" s="134"/>
      <c r="AN72" s="134"/>
      <c r="AO72" s="134"/>
      <c r="AP72" s="134"/>
      <c r="AQ72" s="132"/>
      <c r="AR72" s="132"/>
      <c r="AS72" s="132"/>
      <c r="AT72" s="132"/>
    </row>
    <row r="73" spans="1:46" s="202" customFormat="1">
      <c r="A73" s="132"/>
      <c r="B73" s="176"/>
      <c r="C73" s="207"/>
      <c r="D73" s="207"/>
      <c r="E73" s="207"/>
      <c r="F73" s="207"/>
      <c r="G73" s="169"/>
      <c r="H73" s="169"/>
      <c r="I73" s="169"/>
      <c r="J73" s="169"/>
      <c r="K73" s="218"/>
      <c r="L73" s="218"/>
      <c r="M73" s="208"/>
      <c r="P73" s="132"/>
      <c r="Q73" s="188"/>
      <c r="R73" s="132"/>
      <c r="S73" s="132"/>
      <c r="T73" s="132"/>
      <c r="U73" s="132"/>
      <c r="V73" s="132"/>
      <c r="W73" s="132"/>
      <c r="X73" s="132"/>
      <c r="Y73" s="132"/>
      <c r="Z73" s="216"/>
      <c r="AA73" s="132"/>
      <c r="AD73" s="132"/>
      <c r="AE73" s="132"/>
      <c r="AF73" s="132"/>
      <c r="AG73" s="132"/>
      <c r="AH73" s="132"/>
      <c r="AI73" s="134"/>
      <c r="AJ73" s="133"/>
      <c r="AK73" s="133"/>
      <c r="AL73" s="134"/>
      <c r="AM73" s="134"/>
      <c r="AN73" s="134"/>
      <c r="AO73" s="134"/>
      <c r="AP73" s="134"/>
      <c r="AQ73" s="132"/>
      <c r="AR73" s="132"/>
      <c r="AS73" s="132"/>
      <c r="AT73" s="132"/>
    </row>
    <row r="74" spans="1:46" s="202" customFormat="1">
      <c r="A74" s="132"/>
      <c r="B74" s="176"/>
      <c r="C74" s="207"/>
      <c r="D74" s="207"/>
      <c r="E74" s="207"/>
      <c r="F74" s="207"/>
      <c r="G74" s="169"/>
      <c r="H74" s="169"/>
      <c r="I74" s="169"/>
      <c r="J74" s="169"/>
      <c r="K74" s="218"/>
      <c r="L74" s="218"/>
      <c r="M74" s="208"/>
      <c r="P74" s="132"/>
      <c r="Q74" s="188"/>
      <c r="R74" s="132"/>
      <c r="S74" s="132"/>
      <c r="T74" s="132"/>
      <c r="U74" s="132"/>
      <c r="V74" s="132"/>
      <c r="W74" s="132"/>
      <c r="X74" s="132"/>
      <c r="Y74" s="132"/>
      <c r="Z74" s="216"/>
      <c r="AA74" s="132"/>
      <c r="AD74" s="132"/>
      <c r="AE74" s="132"/>
      <c r="AF74" s="132"/>
      <c r="AG74" s="132"/>
      <c r="AH74" s="132"/>
      <c r="AI74" s="134"/>
      <c r="AJ74" s="133"/>
      <c r="AK74" s="133"/>
      <c r="AL74" s="134"/>
      <c r="AM74" s="134"/>
      <c r="AN74" s="134"/>
      <c r="AO74" s="134"/>
      <c r="AP74" s="134"/>
      <c r="AQ74" s="132"/>
      <c r="AR74" s="132"/>
      <c r="AS74" s="132"/>
      <c r="AT74" s="132"/>
    </row>
    <row r="75" spans="1:46" s="202" customFormat="1">
      <c r="A75" s="132"/>
      <c r="B75" s="176"/>
      <c r="C75" s="207"/>
      <c r="D75" s="207"/>
      <c r="E75" s="207"/>
      <c r="F75" s="207"/>
      <c r="G75" s="169"/>
      <c r="H75" s="169"/>
      <c r="I75" s="169"/>
      <c r="J75" s="169"/>
      <c r="K75" s="218"/>
      <c r="L75" s="218"/>
      <c r="M75" s="208"/>
      <c r="P75" s="132"/>
      <c r="Q75" s="188"/>
      <c r="R75" s="132"/>
      <c r="S75" s="132"/>
      <c r="T75" s="132"/>
      <c r="U75" s="132"/>
      <c r="V75" s="132"/>
      <c r="W75" s="132"/>
      <c r="X75" s="132"/>
      <c r="Y75" s="132"/>
      <c r="Z75" s="216"/>
      <c r="AA75" s="132"/>
      <c r="AD75" s="132"/>
      <c r="AE75" s="132"/>
      <c r="AF75" s="132"/>
      <c r="AG75" s="132"/>
      <c r="AH75" s="132"/>
      <c r="AI75" s="134"/>
      <c r="AJ75" s="133"/>
      <c r="AK75" s="133"/>
      <c r="AL75" s="134"/>
      <c r="AM75" s="134"/>
      <c r="AN75" s="134"/>
      <c r="AO75" s="134"/>
      <c r="AP75" s="134"/>
      <c r="AQ75" s="132"/>
      <c r="AR75" s="132"/>
      <c r="AS75" s="132"/>
      <c r="AT75" s="132"/>
    </row>
    <row r="76" spans="1:46" s="202" customFormat="1">
      <c r="A76" s="132"/>
      <c r="B76" s="176"/>
      <c r="C76" s="207"/>
      <c r="D76" s="207"/>
      <c r="E76" s="207"/>
      <c r="F76" s="207"/>
      <c r="G76" s="169"/>
      <c r="H76" s="169"/>
      <c r="I76" s="169"/>
      <c r="J76" s="169"/>
      <c r="K76" s="218"/>
      <c r="L76" s="218"/>
      <c r="M76" s="208"/>
      <c r="P76" s="132"/>
      <c r="Q76" s="188"/>
      <c r="R76" s="132"/>
      <c r="S76" s="132"/>
      <c r="T76" s="132"/>
      <c r="U76" s="132"/>
      <c r="V76" s="132"/>
      <c r="W76" s="132"/>
      <c r="X76" s="132"/>
      <c r="Y76" s="132"/>
      <c r="Z76" s="216"/>
      <c r="AA76" s="132"/>
      <c r="AD76" s="132"/>
      <c r="AE76" s="132"/>
      <c r="AF76" s="132"/>
      <c r="AG76" s="132"/>
      <c r="AH76" s="132"/>
      <c r="AI76" s="134"/>
      <c r="AJ76" s="133"/>
      <c r="AK76" s="133"/>
      <c r="AL76" s="134"/>
      <c r="AM76" s="134"/>
      <c r="AN76" s="134"/>
      <c r="AO76" s="134"/>
      <c r="AP76" s="134"/>
      <c r="AQ76" s="132"/>
      <c r="AR76" s="132"/>
      <c r="AS76" s="132"/>
      <c r="AT76" s="132"/>
    </row>
    <row r="77" spans="1:46" s="202" customFormat="1">
      <c r="A77" s="132"/>
      <c r="B77" s="176"/>
      <c r="C77" s="207"/>
      <c r="D77" s="207"/>
      <c r="E77" s="207"/>
      <c r="F77" s="207"/>
      <c r="G77" s="169"/>
      <c r="H77" s="169"/>
      <c r="I77" s="169"/>
      <c r="J77" s="169"/>
      <c r="K77" s="218"/>
      <c r="L77" s="218"/>
      <c r="M77" s="208"/>
      <c r="P77" s="132"/>
      <c r="Q77" s="188"/>
      <c r="R77" s="132"/>
      <c r="S77" s="132"/>
      <c r="T77" s="132"/>
      <c r="U77" s="132"/>
      <c r="V77" s="132"/>
      <c r="W77" s="132"/>
      <c r="X77" s="132"/>
      <c r="Y77" s="132"/>
      <c r="Z77" s="216"/>
      <c r="AA77" s="132"/>
      <c r="AD77" s="132"/>
      <c r="AE77" s="132"/>
      <c r="AF77" s="132"/>
      <c r="AG77" s="132"/>
      <c r="AH77" s="132"/>
      <c r="AI77" s="134"/>
      <c r="AJ77" s="133"/>
      <c r="AK77" s="133"/>
      <c r="AL77" s="134"/>
      <c r="AM77" s="134"/>
      <c r="AN77" s="134"/>
      <c r="AO77" s="134"/>
      <c r="AP77" s="134"/>
      <c r="AQ77" s="132"/>
      <c r="AR77" s="132"/>
      <c r="AS77" s="132"/>
      <c r="AT77" s="132"/>
    </row>
  </sheetData>
  <mergeCells count="6">
    <mergeCell ref="AB7:AC7"/>
    <mergeCell ref="H7:J7"/>
    <mergeCell ref="K7:M7"/>
    <mergeCell ref="N7:P7"/>
    <mergeCell ref="R7:T7"/>
    <mergeCell ref="V7:X7"/>
  </mergeCells>
  <pageMargins left="0.2" right="0" top="0.25" bottom="0.25" header="0.3" footer="0.3"/>
  <pageSetup paperSize="9" scale="95" orientation="landscape" verticalDpi="300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/>
  <dimension ref="A1:AT76"/>
  <sheetViews>
    <sheetView showGridLines="0" zoomScaleNormal="100" workbookViewId="0">
      <pane xSplit="7" ySplit="8" topLeftCell="T17" activePane="bottomRight" state="frozen"/>
      <selection pane="topRight" activeCell="G1" sqref="G1"/>
      <selection pane="bottomLeft" activeCell="A9" sqref="A9"/>
      <selection pane="bottomRight" activeCell="A23" sqref="A23:XFD23"/>
    </sheetView>
  </sheetViews>
  <sheetFormatPr defaultColWidth="9.33203125" defaultRowHeight="13.8"/>
  <cols>
    <col min="1" max="1" width="3.6640625" style="132" customWidth="1"/>
    <col min="2" max="2" width="22" style="176" customWidth="1"/>
    <col min="3" max="3" width="5.5546875" style="133" customWidth="1"/>
    <col min="4" max="4" width="6.6640625" style="133" customWidth="1"/>
    <col min="5" max="5" width="8.33203125" style="133" customWidth="1"/>
    <col min="6" max="6" width="10.33203125" style="133" customWidth="1"/>
    <col min="7" max="7" width="12" style="132" bestFit="1" customWidth="1"/>
    <col min="8" max="8" width="5.6640625" style="132" bestFit="1" customWidth="1"/>
    <col min="9" max="9" width="2.6640625" style="132" customWidth="1"/>
    <col min="10" max="10" width="5.5546875" style="132" customWidth="1"/>
    <col min="11" max="12" width="12" style="188" bestFit="1" customWidth="1"/>
    <col min="13" max="13" width="12" style="201" bestFit="1" customWidth="1"/>
    <col min="14" max="14" width="12.109375" style="202" customWidth="1"/>
    <col min="15" max="15" width="11" style="202" bestFit="1" customWidth="1"/>
    <col min="16" max="16" width="10" style="132" bestFit="1" customWidth="1"/>
    <col min="17" max="17" width="12" style="188" customWidth="1"/>
    <col min="18" max="18" width="11" style="132" customWidth="1"/>
    <col min="19" max="19" width="10" style="132" bestFit="1" customWidth="1"/>
    <col min="20" max="20" width="10" style="132" customWidth="1"/>
    <col min="21" max="21" width="11" style="132" customWidth="1"/>
    <col min="22" max="22" width="4.109375" style="132" customWidth="1"/>
    <col min="23" max="23" width="11" style="132" customWidth="1"/>
    <col min="24" max="25" width="12" style="132" customWidth="1"/>
    <col min="26" max="26" width="12.33203125" style="216" customWidth="1"/>
    <col min="27" max="27" width="12.33203125" style="132" customWidth="1"/>
    <col min="28" max="28" width="9.6640625" style="202" customWidth="1"/>
    <col min="29" max="29" width="10.88671875" style="202" customWidth="1"/>
    <col min="30" max="30" width="12" style="132" bestFit="1" customWidth="1"/>
    <col min="31" max="31" width="11" style="132" customWidth="1"/>
    <col min="32" max="32" width="11.6640625" style="132" bestFit="1" customWidth="1"/>
    <col min="33" max="33" width="12.44140625" style="132" bestFit="1" customWidth="1"/>
    <col min="34" max="34" width="12.33203125" style="132" customWidth="1"/>
    <col min="35" max="35" width="7.77734375" style="134" customWidth="1"/>
    <col min="36" max="37" width="7.77734375" style="133" customWidth="1"/>
    <col min="38" max="39" width="7.77734375" style="134" customWidth="1"/>
    <col min="40" max="40" width="13.88671875" style="134" customWidth="1"/>
    <col min="41" max="41" width="22.6640625" style="134" bestFit="1" customWidth="1"/>
    <col min="42" max="42" width="5" style="134" bestFit="1" customWidth="1"/>
    <col min="43" max="16384" width="9.33203125" style="132"/>
  </cols>
  <sheetData>
    <row r="1" spans="1:46" s="2" customFormat="1" ht="18" customHeight="1">
      <c r="B1" s="220" t="s">
        <v>180</v>
      </c>
      <c r="C1" s="118"/>
      <c r="D1" s="118" t="s">
        <v>139</v>
      </c>
      <c r="E1" s="1"/>
      <c r="F1" s="1"/>
      <c r="J1" s="5" t="s">
        <v>202</v>
      </c>
      <c r="K1" s="5"/>
      <c r="L1" s="12"/>
      <c r="M1" s="125"/>
      <c r="N1" s="39"/>
      <c r="O1" s="39"/>
      <c r="P1" s="39"/>
      <c r="Q1" s="12"/>
      <c r="U1" s="1"/>
      <c r="AB1" s="49"/>
      <c r="AC1" s="49"/>
      <c r="AI1" s="55"/>
      <c r="AJ1" s="1"/>
      <c r="AK1" s="1"/>
      <c r="AL1" s="55"/>
      <c r="AM1" s="55"/>
      <c r="AN1" s="55"/>
      <c r="AO1" s="55"/>
      <c r="AP1" s="55"/>
    </row>
    <row r="2" spans="1:46" s="2" customFormat="1" ht="14.1" customHeight="1">
      <c r="B2" s="119" t="s">
        <v>363</v>
      </c>
      <c r="C2" s="5"/>
      <c r="D2" s="5" t="s">
        <v>181</v>
      </c>
      <c r="E2" s="1"/>
      <c r="F2" s="44"/>
      <c r="G2" s="40"/>
      <c r="H2" s="40"/>
      <c r="I2" s="1"/>
      <c r="J2" s="5" t="s">
        <v>373</v>
      </c>
      <c r="K2" s="5"/>
      <c r="L2" s="1"/>
      <c r="M2" s="126"/>
      <c r="N2" s="1"/>
      <c r="O2" s="1"/>
      <c r="P2" s="1"/>
      <c r="Q2" s="13"/>
      <c r="U2" s="1"/>
      <c r="AB2" s="49"/>
      <c r="AC2" s="49"/>
      <c r="AI2" s="55"/>
      <c r="AJ2" s="1"/>
      <c r="AK2" s="1"/>
      <c r="AL2" s="55"/>
      <c r="AM2" s="55"/>
      <c r="AN2" s="55"/>
      <c r="AO2" s="55"/>
      <c r="AP2" s="55"/>
    </row>
    <row r="3" spans="1:46" s="2" customFormat="1" ht="14.1" customHeight="1" thickBot="1">
      <c r="A3" s="53"/>
      <c r="B3" s="53"/>
      <c r="C3" s="4"/>
      <c r="D3" s="4" t="s">
        <v>182</v>
      </c>
      <c r="E3" s="4"/>
      <c r="F3" s="45"/>
      <c r="G3" s="41"/>
      <c r="H3" s="41"/>
      <c r="I3" s="4"/>
      <c r="J3" s="4" t="s">
        <v>366</v>
      </c>
      <c r="K3" s="4"/>
      <c r="L3" s="4"/>
      <c r="M3" s="127"/>
      <c r="N3" s="4"/>
      <c r="O3" s="4"/>
      <c r="P3" s="4"/>
      <c r="Q3" s="15"/>
      <c r="R3" s="16"/>
      <c r="S3" s="16"/>
      <c r="T3" s="16"/>
      <c r="U3" s="4"/>
      <c r="V3" s="16"/>
      <c r="W3" s="16"/>
      <c r="X3" s="16"/>
      <c r="Y3" s="16"/>
      <c r="Z3" s="16"/>
      <c r="AA3" s="16"/>
      <c r="AB3" s="41"/>
      <c r="AC3" s="41"/>
      <c r="AD3" s="16"/>
      <c r="AE3" s="16"/>
      <c r="AF3" s="16"/>
      <c r="AG3" s="16"/>
      <c r="AH3" s="16"/>
      <c r="AI3" s="56"/>
      <c r="AJ3" s="4"/>
      <c r="AK3" s="4"/>
      <c r="AL3" s="56"/>
      <c r="AM3" s="56"/>
      <c r="AN3" s="56"/>
      <c r="AO3" s="56"/>
      <c r="AP3" s="56"/>
    </row>
    <row r="4" spans="1:46" s="17" customFormat="1" ht="12" customHeight="1">
      <c r="B4" s="54"/>
      <c r="C4" s="5"/>
      <c r="D4" s="5"/>
      <c r="E4" s="5"/>
      <c r="F4" s="3"/>
      <c r="G4" s="42"/>
      <c r="H4" s="42"/>
      <c r="I4" s="42"/>
      <c r="J4" s="42"/>
      <c r="K4" s="14"/>
      <c r="L4" s="14"/>
      <c r="M4" s="128"/>
      <c r="N4" s="42"/>
      <c r="O4" s="42"/>
      <c r="P4" s="42"/>
      <c r="Q4" s="14"/>
      <c r="AB4" s="42"/>
      <c r="AC4" s="42"/>
      <c r="AI4" s="57"/>
      <c r="AJ4" s="5"/>
      <c r="AK4" s="5"/>
      <c r="AL4" s="57"/>
      <c r="AM4" s="57"/>
      <c r="AN4" s="57"/>
      <c r="AO4" s="57"/>
      <c r="AP4" s="57"/>
    </row>
    <row r="5" spans="1:46" s="18" customFormat="1" ht="21">
      <c r="B5" s="100" t="s">
        <v>387</v>
      </c>
      <c r="C5" s="46"/>
      <c r="D5" s="46"/>
      <c r="E5" s="46"/>
      <c r="F5" s="46"/>
      <c r="G5" s="43"/>
      <c r="H5" s="43"/>
      <c r="I5" s="43"/>
      <c r="J5" s="43"/>
      <c r="K5" s="19"/>
      <c r="L5" s="19"/>
      <c r="M5" s="129"/>
      <c r="N5" s="43"/>
      <c r="O5" s="43"/>
      <c r="P5" s="43"/>
      <c r="Q5" s="19"/>
      <c r="R5" s="19"/>
      <c r="S5" s="19"/>
      <c r="T5" s="20"/>
      <c r="U5" s="19"/>
      <c r="V5" s="19"/>
      <c r="W5" s="19"/>
      <c r="X5" s="19"/>
      <c r="Y5" s="19"/>
      <c r="Z5" s="19"/>
      <c r="AA5" s="19"/>
      <c r="AB5" s="19"/>
      <c r="AC5" s="19"/>
      <c r="AD5" s="240"/>
      <c r="AE5" s="19"/>
      <c r="AF5" s="19"/>
      <c r="AG5" s="19"/>
      <c r="AH5" s="19"/>
      <c r="AI5" s="58"/>
      <c r="AJ5" s="6"/>
      <c r="AK5" s="6"/>
      <c r="AL5" s="11"/>
      <c r="AM5" s="11"/>
      <c r="AN5" s="11"/>
      <c r="AO5" s="11"/>
      <c r="AP5" s="11"/>
    </row>
    <row r="7" spans="1:46" s="135" customFormat="1" ht="12" customHeight="1">
      <c r="A7" s="326" t="s">
        <v>16</v>
      </c>
      <c r="B7" s="326" t="s">
        <v>67</v>
      </c>
      <c r="C7" s="326" t="s">
        <v>145</v>
      </c>
      <c r="D7" s="326" t="s">
        <v>101</v>
      </c>
      <c r="E7" s="326" t="s">
        <v>147</v>
      </c>
      <c r="F7" s="326" t="s">
        <v>72</v>
      </c>
      <c r="G7" s="326" t="s">
        <v>23</v>
      </c>
      <c r="H7" s="357" t="s">
        <v>103</v>
      </c>
      <c r="I7" s="357"/>
      <c r="J7" s="357"/>
      <c r="K7" s="358" t="s">
        <v>74</v>
      </c>
      <c r="L7" s="359"/>
      <c r="M7" s="360"/>
      <c r="N7" s="361" t="s">
        <v>75</v>
      </c>
      <c r="O7" s="362"/>
      <c r="P7" s="363"/>
      <c r="Q7" s="232" t="s">
        <v>77</v>
      </c>
      <c r="R7" s="364" t="s">
        <v>177</v>
      </c>
      <c r="S7" s="365"/>
      <c r="T7" s="365"/>
      <c r="U7" s="326" t="s">
        <v>78</v>
      </c>
      <c r="V7" s="364" t="s">
        <v>176</v>
      </c>
      <c r="W7" s="365"/>
      <c r="X7" s="365"/>
      <c r="Y7" s="326" t="s">
        <v>80</v>
      </c>
      <c r="Z7" s="326" t="s">
        <v>82</v>
      </c>
      <c r="AA7" s="326" t="s">
        <v>83</v>
      </c>
      <c r="AB7" s="356" t="s">
        <v>33</v>
      </c>
      <c r="AC7" s="356"/>
      <c r="AD7" s="328" t="s">
        <v>156</v>
      </c>
      <c r="AE7" s="336" t="s">
        <v>157</v>
      </c>
      <c r="AF7" s="336" t="s">
        <v>158</v>
      </c>
      <c r="AG7" s="336" t="s">
        <v>159</v>
      </c>
      <c r="AH7" s="336" t="s">
        <v>83</v>
      </c>
      <c r="AI7" s="337"/>
      <c r="AJ7" s="337"/>
      <c r="AK7" s="337"/>
      <c r="AL7" s="337"/>
      <c r="AM7" s="337"/>
      <c r="AN7" s="337"/>
      <c r="AO7" s="337"/>
      <c r="AP7" s="337"/>
    </row>
    <row r="8" spans="1:46" s="130" customFormat="1" ht="24">
      <c r="A8" s="221" t="s">
        <v>73</v>
      </c>
      <c r="B8" s="221" t="s">
        <v>68</v>
      </c>
      <c r="C8" s="221" t="s">
        <v>146</v>
      </c>
      <c r="D8" s="221" t="s">
        <v>66</v>
      </c>
      <c r="E8" s="221" t="s">
        <v>85</v>
      </c>
      <c r="F8" s="221" t="s">
        <v>18</v>
      </c>
      <c r="G8" s="222" t="s">
        <v>24</v>
      </c>
      <c r="H8" s="327" t="s">
        <v>21</v>
      </c>
      <c r="I8" s="327" t="s">
        <v>22</v>
      </c>
      <c r="J8" s="327" t="s">
        <v>0</v>
      </c>
      <c r="K8" s="222" t="s">
        <v>149</v>
      </c>
      <c r="L8" s="222" t="s">
        <v>151</v>
      </c>
      <c r="M8" s="221" t="s">
        <v>152</v>
      </c>
      <c r="N8" s="221" t="s">
        <v>374</v>
      </c>
      <c r="O8" s="221" t="s">
        <v>375</v>
      </c>
      <c r="P8" s="221" t="s">
        <v>76</v>
      </c>
      <c r="Q8" s="222" t="s">
        <v>24</v>
      </c>
      <c r="R8" s="224" t="s">
        <v>25</v>
      </c>
      <c r="S8" s="224" t="s">
        <v>26</v>
      </c>
      <c r="T8" s="224" t="s">
        <v>27</v>
      </c>
      <c r="U8" s="225" t="s">
        <v>79</v>
      </c>
      <c r="V8" s="221" t="s">
        <v>88</v>
      </c>
      <c r="W8" s="222" t="s">
        <v>4</v>
      </c>
      <c r="X8" s="222" t="s">
        <v>3</v>
      </c>
      <c r="Y8" s="225" t="s">
        <v>81</v>
      </c>
      <c r="Z8" s="226" t="s">
        <v>84</v>
      </c>
      <c r="AA8" s="226" t="s">
        <v>1</v>
      </c>
      <c r="AB8" s="221" t="s">
        <v>34</v>
      </c>
      <c r="AC8" s="221" t="s">
        <v>35</v>
      </c>
      <c r="AD8" s="221" t="s">
        <v>155</v>
      </c>
      <c r="AE8" s="221" t="s">
        <v>40</v>
      </c>
      <c r="AF8" s="221" t="s">
        <v>28</v>
      </c>
      <c r="AG8" s="221" t="s">
        <v>48</v>
      </c>
      <c r="AH8" s="221" t="s">
        <v>1</v>
      </c>
      <c r="AI8" s="225" t="s">
        <v>86</v>
      </c>
      <c r="AJ8" s="225" t="s">
        <v>96</v>
      </c>
      <c r="AK8" s="225" t="s">
        <v>97</v>
      </c>
      <c r="AL8" s="225" t="s">
        <v>109</v>
      </c>
      <c r="AM8" s="225" t="s">
        <v>183</v>
      </c>
      <c r="AN8" s="225" t="s">
        <v>110</v>
      </c>
      <c r="AO8" s="225" t="s">
        <v>111</v>
      </c>
      <c r="AP8" s="226" t="s">
        <v>376</v>
      </c>
    </row>
    <row r="9" spans="1:46" s="155" customFormat="1" ht="12" customHeight="1">
      <c r="A9" s="136"/>
      <c r="B9" s="136"/>
      <c r="C9" s="136"/>
      <c r="D9" s="136"/>
      <c r="E9" s="136"/>
      <c r="F9" s="136"/>
      <c r="G9" s="137"/>
      <c r="H9" s="138"/>
      <c r="I9" s="138"/>
      <c r="J9" s="138"/>
      <c r="K9" s="139"/>
      <c r="L9" s="139"/>
      <c r="M9" s="140"/>
      <c r="N9" s="141"/>
      <c r="O9" s="141"/>
      <c r="P9" s="136"/>
      <c r="Q9" s="142" t="s">
        <v>29</v>
      </c>
      <c r="R9" s="143">
        <f>Assu!$C$3</f>
        <v>0.08</v>
      </c>
      <c r="S9" s="143">
        <f>Assu!$C$4</f>
        <v>1.4999999999999999E-2</v>
      </c>
      <c r="T9" s="143">
        <f>Assu!$C$5</f>
        <v>0.01</v>
      </c>
      <c r="U9" s="142" t="s">
        <v>30</v>
      </c>
      <c r="V9" s="144"/>
      <c r="W9" s="145">
        <v>4400000</v>
      </c>
      <c r="X9" s="145">
        <v>11000000</v>
      </c>
      <c r="Y9" s="146" t="s">
        <v>31</v>
      </c>
      <c r="Z9" s="147" t="s">
        <v>32</v>
      </c>
      <c r="AA9" s="147" t="s">
        <v>36</v>
      </c>
      <c r="AB9" s="148" t="s">
        <v>37</v>
      </c>
      <c r="AC9" s="148" t="s">
        <v>38</v>
      </c>
      <c r="AD9" s="149" t="s">
        <v>39</v>
      </c>
      <c r="AE9" s="151">
        <f>SUM(Assu!$B$3:$B$6)</f>
        <v>0.23499999999999999</v>
      </c>
      <c r="AF9" s="151">
        <f>SUM(R9:T9)+AE9</f>
        <v>0.33999999999999997</v>
      </c>
      <c r="AG9" s="151">
        <v>1</v>
      </c>
      <c r="AH9" s="151"/>
      <c r="AI9" s="152"/>
      <c r="AJ9" s="136"/>
      <c r="AK9" s="136"/>
      <c r="AL9" s="152"/>
      <c r="AM9" s="152"/>
      <c r="AN9" s="153"/>
      <c r="AO9" s="153"/>
      <c r="AP9" s="153"/>
      <c r="AQ9" s="154"/>
      <c r="AT9" s="154"/>
    </row>
    <row r="10" spans="1:46">
      <c r="A10" s="156">
        <v>1</v>
      </c>
      <c r="B10" s="157" t="s">
        <v>19</v>
      </c>
      <c r="C10" s="152" t="s">
        <v>148</v>
      </c>
      <c r="D10" s="152" t="s">
        <v>162</v>
      </c>
      <c r="E10" s="152">
        <v>40848</v>
      </c>
      <c r="F10" s="158" t="s">
        <v>64</v>
      </c>
      <c r="G10" s="238">
        <v>0</v>
      </c>
      <c r="H10" s="287">
        <v>22</v>
      </c>
      <c r="I10" s="287">
        <v>0</v>
      </c>
      <c r="J10" s="287">
        <f>H10+I10</f>
        <v>22</v>
      </c>
      <c r="K10" s="242">
        <f t="shared" ref="K10:K31" si="0">G10/H10*J10</f>
        <v>0</v>
      </c>
      <c r="L10" s="242">
        <v>50000000</v>
      </c>
      <c r="M10" s="162">
        <f>SUM(K10:L10)</f>
        <v>50000000</v>
      </c>
      <c r="N10" s="308"/>
      <c r="O10" s="50"/>
      <c r="P10" s="50"/>
      <c r="Q10" s="164">
        <f>SUM(M10:P10)</f>
        <v>50000000</v>
      </c>
      <c r="R10" s="165">
        <f>(MIN(VALUE($G10),[1]Assu!$E$3))*R$9</f>
        <v>0</v>
      </c>
      <c r="S10" s="165">
        <f>(MIN(VALUE($G10),[1]Assu!$E$4))*S$9</f>
        <v>0</v>
      </c>
      <c r="T10" s="165">
        <f>(MIN(VALUE($G10),[1]Assu!$E$5))*T$9</f>
        <v>0</v>
      </c>
      <c r="U10" s="159">
        <f>SUM(R10:T10)</f>
        <v>0</v>
      </c>
      <c r="V10" s="159">
        <v>0</v>
      </c>
      <c r="W10" s="50">
        <f>V10*$W$9</f>
        <v>0</v>
      </c>
      <c r="X10" s="50">
        <f t="shared" ref="X10:X31" si="1">IF(VALUE(Q10)=0,0,$X$9)</f>
        <v>11000000</v>
      </c>
      <c r="Y10" s="159">
        <f>SUM(W10:X10)</f>
        <v>11000000</v>
      </c>
      <c r="Z10" s="50">
        <f t="shared" ref="Z10:Z31" si="2">IF((Q10-U10-Y10)&lt;0,0,(Q10-U10-Y10))</f>
        <v>39000000</v>
      </c>
      <c r="AA10" s="290">
        <f>IF(AND(Z10&lt;10000000,Z10&gt;5000000),Z10*10%-250000,IF(AND(Z10&lt;18000000,Z10&gt;10000000),Z10*15%-750000,IF(AND(Z10&lt;32000000,Z10&gt;18000000),Z10*20%-1650000,IF(AND(Z10&lt;52000000,Z10&gt;32000000),Z10*25%-3250000,IF(AND(Z10&lt;80000000,Z10&gt;52000000),Z10*30%-5850000,IF(Z10&gt;80000000,Z10*35%-9850000,Z10*5%))))))</f>
        <v>6500000</v>
      </c>
      <c r="AB10" s="159"/>
      <c r="AC10" s="166"/>
      <c r="AD10" s="170">
        <f>Q10-U10-AB10+AC10</f>
        <v>50000000</v>
      </c>
      <c r="AE10" s="165">
        <f>(MIN(VALUE($G10),[1]Assu!$E$3))*AE$9</f>
        <v>0</v>
      </c>
      <c r="AF10" s="165">
        <f>(MIN(VALUE($G10),[1]Assu!$E$3))*AF$9</f>
        <v>0</v>
      </c>
      <c r="AG10" s="165">
        <f>Q10*$AG$9/12</f>
        <v>4166666.6666666665</v>
      </c>
      <c r="AH10" s="165">
        <f>AA10</f>
        <v>6500000</v>
      </c>
      <c r="AI10" s="48" t="s">
        <v>388</v>
      </c>
      <c r="AJ10" s="48"/>
      <c r="AK10" s="48"/>
      <c r="AL10" s="153"/>
      <c r="AM10" s="48" t="s">
        <v>301</v>
      </c>
      <c r="AN10" s="123" t="s">
        <v>219</v>
      </c>
      <c r="AO10" s="168" t="s">
        <v>205</v>
      </c>
      <c r="AP10" s="168" t="s">
        <v>161</v>
      </c>
    </row>
    <row r="11" spans="1:46">
      <c r="A11" s="156">
        <v>2</v>
      </c>
      <c r="B11" s="157" t="s">
        <v>89</v>
      </c>
      <c r="C11" s="152" t="s">
        <v>148</v>
      </c>
      <c r="D11" s="152" t="s">
        <v>150</v>
      </c>
      <c r="E11" s="152">
        <v>40848</v>
      </c>
      <c r="F11" s="158" t="s">
        <v>90</v>
      </c>
      <c r="G11" s="322">
        <v>24000000</v>
      </c>
      <c r="H11" s="287">
        <v>22</v>
      </c>
      <c r="I11" s="287">
        <v>0</v>
      </c>
      <c r="J11" s="287">
        <f t="shared" ref="J11:J31" si="3">H11+I11</f>
        <v>22</v>
      </c>
      <c r="K11" s="242">
        <f t="shared" si="0"/>
        <v>24000000</v>
      </c>
      <c r="L11" s="50">
        <v>40000000</v>
      </c>
      <c r="M11" s="162">
        <f t="shared" ref="M11:M31" si="4">SUM(K11:L11)</f>
        <v>64000000</v>
      </c>
      <c r="N11" s="51"/>
      <c r="O11" s="50"/>
      <c r="P11" s="50"/>
      <c r="Q11" s="164">
        <f t="shared" ref="Q11:Q31" si="5">SUM(M11:P11)</f>
        <v>64000000</v>
      </c>
      <c r="R11" s="165">
        <f>(MIN(VALUE($G11),[1]Assu!$E$3))*R$9</f>
        <v>1920000</v>
      </c>
      <c r="S11" s="165">
        <f>(MIN(VALUE($G11),[1]Assu!$E$4))*S$9</f>
        <v>360000</v>
      </c>
      <c r="T11" s="165">
        <f>(MIN(VALUE($G11),[1]Assu!$E$5))*T$9</f>
        <v>240000</v>
      </c>
      <c r="U11" s="159">
        <f t="shared" ref="U11:U31" si="6">SUM(R11:T11)</f>
        <v>2520000</v>
      </c>
      <c r="V11" s="159">
        <v>1</v>
      </c>
      <c r="W11" s="50">
        <f t="shared" ref="W11:W31" si="7">V11*$W$9</f>
        <v>4400000</v>
      </c>
      <c r="X11" s="50">
        <f t="shared" si="1"/>
        <v>11000000</v>
      </c>
      <c r="Y11" s="159">
        <f t="shared" ref="Y11:Y31" si="8">SUM(W11:X11)</f>
        <v>15400000</v>
      </c>
      <c r="Z11" s="50">
        <f t="shared" si="2"/>
        <v>46080000</v>
      </c>
      <c r="AA11" s="290">
        <f t="shared" ref="AA11:AA31" si="9">IF(AND(Z11&lt;10000000,Z11&gt;5000000),Z11*10%-250000,IF(AND(Z11&lt;18000000,Z11&gt;10000000),Z11*15%-750000,IF(AND(Z11&lt;32000000,Z11&gt;18000000),Z11*20%-1650000,IF(AND(Z11&lt;52000000,Z11&gt;32000000),Z11*25%-3250000,IF(AND(Z11&lt;80000000,Z11&gt;52000000),Z11*30%-5850000,IF(Z11&gt;80000000,Z11*35%-9850000,Z11*5%))))))</f>
        <v>8270000</v>
      </c>
      <c r="AB11" s="159"/>
      <c r="AC11" s="166"/>
      <c r="AD11" s="164">
        <f>Q11-U11-AA11-AB11-AC11</f>
        <v>53210000</v>
      </c>
      <c r="AE11" s="165">
        <f>(MIN(VALUE($G11),[1]Assu!$E$3))*AE$9</f>
        <v>5640000</v>
      </c>
      <c r="AF11" s="165">
        <f>(MIN(VALUE($G11),[1]Assu!$E$3))*AF$9</f>
        <v>8159999.9999999991</v>
      </c>
      <c r="AG11" s="165">
        <f t="shared" ref="AG11:AG31" si="10">Q11*$AG$9/12</f>
        <v>5333333.333333333</v>
      </c>
      <c r="AH11" s="165">
        <f t="shared" ref="AH11:AH31" si="11">AA11</f>
        <v>8270000</v>
      </c>
      <c r="AI11" s="48" t="s">
        <v>388</v>
      </c>
      <c r="AJ11" s="48"/>
      <c r="AK11" s="48"/>
      <c r="AL11" s="159"/>
      <c r="AM11" s="48" t="s">
        <v>301</v>
      </c>
      <c r="AN11" s="123" t="s">
        <v>218</v>
      </c>
      <c r="AO11" s="168" t="s">
        <v>140</v>
      </c>
      <c r="AP11" s="168" t="s">
        <v>160</v>
      </c>
      <c r="AT11" s="169"/>
    </row>
    <row r="12" spans="1:46">
      <c r="A12" s="156">
        <v>3</v>
      </c>
      <c r="B12" s="157" t="s">
        <v>49</v>
      </c>
      <c r="C12" s="152" t="s">
        <v>148</v>
      </c>
      <c r="D12" s="152" t="s">
        <v>163</v>
      </c>
      <c r="E12" s="152">
        <v>41334</v>
      </c>
      <c r="F12" s="158" t="s">
        <v>65</v>
      </c>
      <c r="G12" s="238">
        <v>0</v>
      </c>
      <c r="H12" s="287">
        <v>22</v>
      </c>
      <c r="I12" s="287">
        <v>0</v>
      </c>
      <c r="J12" s="287">
        <f t="shared" si="3"/>
        <v>22</v>
      </c>
      <c r="K12" s="242">
        <f t="shared" si="0"/>
        <v>0</v>
      </c>
      <c r="L12" s="50">
        <f>16800000</f>
        <v>16800000</v>
      </c>
      <c r="M12" s="162">
        <f t="shared" si="4"/>
        <v>16800000</v>
      </c>
      <c r="N12" s="51"/>
      <c r="O12" s="50"/>
      <c r="P12" s="50"/>
      <c r="Q12" s="164">
        <f t="shared" si="5"/>
        <v>16800000</v>
      </c>
      <c r="R12" s="165">
        <f>(MIN(VALUE($G12),[1]Assu!$E$3))*R$9</f>
        <v>0</v>
      </c>
      <c r="S12" s="165">
        <f>(MIN(VALUE($G12),[1]Assu!$E$4))*S$9</f>
        <v>0</v>
      </c>
      <c r="T12" s="165">
        <f>(MIN(VALUE($G12),[1]Assu!$E$5))*T$9</f>
        <v>0</v>
      </c>
      <c r="U12" s="159">
        <f t="shared" si="6"/>
        <v>0</v>
      </c>
      <c r="V12" s="159">
        <v>0</v>
      </c>
      <c r="W12" s="50">
        <f t="shared" si="7"/>
        <v>0</v>
      </c>
      <c r="X12" s="50">
        <f t="shared" si="1"/>
        <v>11000000</v>
      </c>
      <c r="Y12" s="159">
        <f t="shared" si="8"/>
        <v>11000000</v>
      </c>
      <c r="Z12" s="50">
        <f t="shared" si="2"/>
        <v>5800000</v>
      </c>
      <c r="AA12" s="290">
        <f t="shared" si="9"/>
        <v>330000</v>
      </c>
      <c r="AB12" s="159"/>
      <c r="AC12" s="166"/>
      <c r="AD12" s="164">
        <f t="shared" ref="AD12:AD31" si="12">Q12-U12-AA12-AB12-AC12</f>
        <v>16470000</v>
      </c>
      <c r="AE12" s="165">
        <f>(MIN(VALUE($G12),[1]Assu!$E$3))*AE$9</f>
        <v>0</v>
      </c>
      <c r="AF12" s="165">
        <f>(MIN(VALUE($G12),[1]Assu!$E$3))*AF$9</f>
        <v>0</v>
      </c>
      <c r="AG12" s="165">
        <f t="shared" si="10"/>
        <v>1400000</v>
      </c>
      <c r="AH12" s="165">
        <f t="shared" si="11"/>
        <v>330000</v>
      </c>
      <c r="AI12" s="48" t="s">
        <v>388</v>
      </c>
      <c r="AJ12" s="48"/>
      <c r="AK12" s="48"/>
      <c r="AL12" s="153"/>
      <c r="AM12" s="48" t="s">
        <v>301</v>
      </c>
      <c r="AN12" s="123" t="s">
        <v>220</v>
      </c>
      <c r="AO12" s="168" t="s">
        <v>140</v>
      </c>
      <c r="AP12" s="168" t="s">
        <v>161</v>
      </c>
      <c r="AT12" s="169"/>
    </row>
    <row r="13" spans="1:46">
      <c r="A13" s="156">
        <v>4</v>
      </c>
      <c r="B13" s="157" t="s">
        <v>112</v>
      </c>
      <c r="C13" s="152" t="s">
        <v>148</v>
      </c>
      <c r="D13" s="152" t="s">
        <v>163</v>
      </c>
      <c r="E13" s="124">
        <v>42177</v>
      </c>
      <c r="F13" s="158" t="s">
        <v>113</v>
      </c>
      <c r="G13" s="322">
        <v>12000000</v>
      </c>
      <c r="H13" s="287">
        <v>22</v>
      </c>
      <c r="I13" s="287">
        <v>0</v>
      </c>
      <c r="J13" s="287">
        <f t="shared" si="3"/>
        <v>22</v>
      </c>
      <c r="K13" s="242">
        <f t="shared" si="0"/>
        <v>12000000</v>
      </c>
      <c r="L13" s="50"/>
      <c r="M13" s="162">
        <f t="shared" si="4"/>
        <v>12000000</v>
      </c>
      <c r="N13" s="51"/>
      <c r="O13" s="50"/>
      <c r="P13" s="50"/>
      <c r="Q13" s="164">
        <f t="shared" si="5"/>
        <v>12000000</v>
      </c>
      <c r="R13" s="165">
        <f>(MIN(VALUE($G13),[1]Assu!$E$3))*R$9</f>
        <v>960000</v>
      </c>
      <c r="S13" s="165">
        <f>(MIN(VALUE($G13),[1]Assu!$E$4))*S$9</f>
        <v>180000</v>
      </c>
      <c r="T13" s="165">
        <f>(MIN(VALUE($G13),[1]Assu!$E$5))*T$9</f>
        <v>120000</v>
      </c>
      <c r="U13" s="159">
        <f t="shared" si="6"/>
        <v>1260000</v>
      </c>
      <c r="V13" s="159">
        <v>0</v>
      </c>
      <c r="W13" s="50">
        <f t="shared" si="7"/>
        <v>0</v>
      </c>
      <c r="X13" s="50">
        <f t="shared" si="1"/>
        <v>11000000</v>
      </c>
      <c r="Y13" s="159">
        <f t="shared" si="8"/>
        <v>11000000</v>
      </c>
      <c r="Z13" s="50">
        <f t="shared" si="2"/>
        <v>0</v>
      </c>
      <c r="AA13" s="290">
        <f t="shared" si="9"/>
        <v>0</v>
      </c>
      <c r="AB13" s="235"/>
      <c r="AC13" s="166"/>
      <c r="AD13" s="164">
        <f t="shared" si="12"/>
        <v>10740000</v>
      </c>
      <c r="AE13" s="165">
        <f>(MIN(VALUE($G13),[1]Assu!$E$3))*AE$9</f>
        <v>2820000</v>
      </c>
      <c r="AF13" s="165">
        <f>(MIN(VALUE($G13),[1]Assu!$E$3))*AF$9</f>
        <v>4079999.9999999995</v>
      </c>
      <c r="AG13" s="165">
        <f t="shared" si="10"/>
        <v>1000000</v>
      </c>
      <c r="AH13" s="165">
        <f t="shared" si="11"/>
        <v>0</v>
      </c>
      <c r="AI13" s="48"/>
      <c r="AJ13" s="48"/>
      <c r="AK13" s="48"/>
      <c r="AL13" s="153"/>
      <c r="AM13" s="48" t="s">
        <v>301</v>
      </c>
      <c r="AN13" s="123" t="s">
        <v>221</v>
      </c>
      <c r="AO13" s="168" t="s">
        <v>141</v>
      </c>
      <c r="AP13" s="168" t="s">
        <v>160</v>
      </c>
      <c r="AT13" s="169"/>
    </row>
    <row r="14" spans="1:46">
      <c r="A14" s="156">
        <v>5</v>
      </c>
      <c r="B14" s="157" t="s">
        <v>114</v>
      </c>
      <c r="C14" s="152" t="s">
        <v>148</v>
      </c>
      <c r="D14" s="227" t="s">
        <v>169</v>
      </c>
      <c r="E14" s="124">
        <v>42492</v>
      </c>
      <c r="F14" s="247" t="s">
        <v>115</v>
      </c>
      <c r="G14" s="322">
        <v>11000000</v>
      </c>
      <c r="H14" s="287">
        <v>22</v>
      </c>
      <c r="I14" s="287">
        <v>0</v>
      </c>
      <c r="J14" s="287">
        <f t="shared" si="3"/>
        <v>22</v>
      </c>
      <c r="K14" s="242">
        <f t="shared" si="0"/>
        <v>11000000</v>
      </c>
      <c r="L14" s="50"/>
      <c r="M14" s="162">
        <f t="shared" si="4"/>
        <v>11000000</v>
      </c>
      <c r="N14" s="51"/>
      <c r="O14" s="50"/>
      <c r="P14" s="50"/>
      <c r="Q14" s="164">
        <f t="shared" si="5"/>
        <v>11000000</v>
      </c>
      <c r="R14" s="165">
        <f>(MIN(VALUE($G14),[1]Assu!$E$3))*R$9</f>
        <v>880000</v>
      </c>
      <c r="S14" s="165">
        <f>(MIN(VALUE($G14),[1]Assu!$E$4))*S$9</f>
        <v>165000</v>
      </c>
      <c r="T14" s="165">
        <f>(MIN(VALUE($G14),[1]Assu!$E$5))*T$9</f>
        <v>110000</v>
      </c>
      <c r="U14" s="159">
        <f t="shared" si="6"/>
        <v>1155000</v>
      </c>
      <c r="V14" s="159">
        <v>0</v>
      </c>
      <c r="W14" s="50">
        <f t="shared" si="7"/>
        <v>0</v>
      </c>
      <c r="X14" s="50">
        <f t="shared" si="1"/>
        <v>11000000</v>
      </c>
      <c r="Y14" s="159">
        <f t="shared" si="8"/>
        <v>11000000</v>
      </c>
      <c r="Z14" s="50">
        <f t="shared" si="2"/>
        <v>0</v>
      </c>
      <c r="AA14" s="290">
        <f t="shared" si="9"/>
        <v>0</v>
      </c>
      <c r="AB14" s="159"/>
      <c r="AC14" s="166"/>
      <c r="AD14" s="164">
        <f t="shared" si="12"/>
        <v>9845000</v>
      </c>
      <c r="AE14" s="165">
        <f>(MIN(VALUE($G14),[1]Assu!$E$3))*AE$9</f>
        <v>2585000</v>
      </c>
      <c r="AF14" s="165">
        <f>(MIN(VALUE($G14),[1]Assu!$E$3))*AF$9</f>
        <v>3739999.9999999995</v>
      </c>
      <c r="AG14" s="165">
        <f t="shared" si="10"/>
        <v>916666.66666666663</v>
      </c>
      <c r="AH14" s="165">
        <f t="shared" si="11"/>
        <v>0</v>
      </c>
      <c r="AI14" s="48"/>
      <c r="AJ14" s="48"/>
      <c r="AK14" s="48"/>
      <c r="AL14" s="48"/>
      <c r="AM14" s="48" t="s">
        <v>301</v>
      </c>
      <c r="AN14" s="123" t="s">
        <v>223</v>
      </c>
      <c r="AO14" s="168" t="s">
        <v>201</v>
      </c>
      <c r="AP14" s="168" t="s">
        <v>160</v>
      </c>
      <c r="AT14" s="169"/>
    </row>
    <row r="15" spans="1:46" s="18" customFormat="1">
      <c r="A15" s="156">
        <v>6</v>
      </c>
      <c r="B15" s="288" t="s">
        <v>298</v>
      </c>
      <c r="C15" s="152" t="s">
        <v>148</v>
      </c>
      <c r="D15" s="296" t="s">
        <v>299</v>
      </c>
      <c r="E15" s="124">
        <v>41855</v>
      </c>
      <c r="F15" s="291" t="s">
        <v>300</v>
      </c>
      <c r="G15" s="292">
        <v>9080000</v>
      </c>
      <c r="H15" s="287">
        <v>22</v>
      </c>
      <c r="I15" s="287">
        <v>0</v>
      </c>
      <c r="J15" s="338">
        <v>8</v>
      </c>
      <c r="K15" s="242">
        <f t="shared" si="0"/>
        <v>3301818.1818181816</v>
      </c>
      <c r="L15" s="50">
        <v>700000</v>
      </c>
      <c r="M15" s="162">
        <f t="shared" si="4"/>
        <v>4001818.1818181816</v>
      </c>
      <c r="N15" s="248">
        <v>1066633</v>
      </c>
      <c r="O15" s="50"/>
      <c r="P15" s="50"/>
      <c r="Q15" s="164">
        <f t="shared" si="5"/>
        <v>5068451.1818181816</v>
      </c>
      <c r="R15" s="165"/>
      <c r="S15" s="165"/>
      <c r="T15" s="165"/>
      <c r="U15" s="159">
        <f t="shared" si="6"/>
        <v>0</v>
      </c>
      <c r="V15" s="159">
        <v>0</v>
      </c>
      <c r="W15" s="50">
        <f t="shared" si="7"/>
        <v>0</v>
      </c>
      <c r="X15" s="50">
        <f t="shared" si="1"/>
        <v>11000000</v>
      </c>
      <c r="Y15" s="159">
        <f t="shared" si="8"/>
        <v>11000000</v>
      </c>
      <c r="Z15" s="50">
        <f t="shared" si="2"/>
        <v>0</v>
      </c>
      <c r="AA15" s="290">
        <f t="shared" si="9"/>
        <v>0</v>
      </c>
      <c r="AB15" s="51"/>
      <c r="AC15" s="51"/>
      <c r="AD15" s="164">
        <f t="shared" si="12"/>
        <v>5068451.1818181816</v>
      </c>
      <c r="AE15" s="165">
        <f>(MIN(VALUE($G15),[1]Assu!$E$3))*AE$9</f>
        <v>2133800</v>
      </c>
      <c r="AF15" s="165">
        <f>(MIN(VALUE($G15),[1]Assu!$E$3))*AF$9</f>
        <v>3087199.9999999995</v>
      </c>
      <c r="AG15" s="165">
        <f t="shared" si="10"/>
        <v>422370.93181818182</v>
      </c>
      <c r="AH15" s="165">
        <f t="shared" si="11"/>
        <v>0</v>
      </c>
      <c r="AI15" s="48" t="s">
        <v>396</v>
      </c>
      <c r="AJ15" s="48" t="s">
        <v>389</v>
      </c>
      <c r="AK15" s="48"/>
      <c r="AL15" s="48"/>
      <c r="AM15" s="48" t="s">
        <v>301</v>
      </c>
      <c r="AN15" s="48" t="s">
        <v>302</v>
      </c>
      <c r="AO15" s="48" t="s">
        <v>141</v>
      </c>
      <c r="AP15" s="48" t="s">
        <v>160</v>
      </c>
      <c r="AT15" s="23"/>
    </row>
    <row r="16" spans="1:46">
      <c r="A16" s="156">
        <v>7</v>
      </c>
      <c r="B16" s="157" t="s">
        <v>122</v>
      </c>
      <c r="C16" s="244" t="s">
        <v>168</v>
      </c>
      <c r="D16" s="152" t="s">
        <v>170</v>
      </c>
      <c r="E16" s="152">
        <v>42114</v>
      </c>
      <c r="F16" s="158" t="s">
        <v>123</v>
      </c>
      <c r="G16" s="285">
        <v>13600000</v>
      </c>
      <c r="H16" s="287">
        <v>22</v>
      </c>
      <c r="I16" s="287">
        <v>0</v>
      </c>
      <c r="J16" s="287">
        <f t="shared" si="3"/>
        <v>22</v>
      </c>
      <c r="K16" s="242">
        <f t="shared" si="0"/>
        <v>13600000.000000002</v>
      </c>
      <c r="L16" s="50"/>
      <c r="M16" s="162">
        <f t="shared" si="4"/>
        <v>13600000.000000002</v>
      </c>
      <c r="N16" s="248">
        <v>800758</v>
      </c>
      <c r="O16" s="50"/>
      <c r="P16" s="50"/>
      <c r="Q16" s="164">
        <f t="shared" si="5"/>
        <v>14400758.000000002</v>
      </c>
      <c r="R16" s="165">
        <f>(MIN(VALUE($G16),[1]Assu!$E$3))*R$9</f>
        <v>1088000</v>
      </c>
      <c r="S16" s="165">
        <f>(MIN(VALUE($G16),[1]Assu!$E$4))*S$9</f>
        <v>204000</v>
      </c>
      <c r="T16" s="165">
        <f>(MIN(VALUE($G16),[1]Assu!$E$5))*T$9</f>
        <v>136000</v>
      </c>
      <c r="U16" s="159">
        <f t="shared" si="6"/>
        <v>1428000</v>
      </c>
      <c r="V16" s="159">
        <v>1</v>
      </c>
      <c r="W16" s="50">
        <f t="shared" si="7"/>
        <v>4400000</v>
      </c>
      <c r="X16" s="50">
        <f t="shared" si="1"/>
        <v>11000000</v>
      </c>
      <c r="Y16" s="159">
        <f t="shared" si="8"/>
        <v>15400000</v>
      </c>
      <c r="Z16" s="50">
        <f t="shared" si="2"/>
        <v>0</v>
      </c>
      <c r="AA16" s="290">
        <f t="shared" si="9"/>
        <v>0</v>
      </c>
      <c r="AB16" s="159"/>
      <c r="AC16" s="166"/>
      <c r="AD16" s="164">
        <f t="shared" si="12"/>
        <v>12972758.000000002</v>
      </c>
      <c r="AE16" s="165">
        <f>(MIN(VALUE($G16),[1]Assu!$E$3))*AE$9</f>
        <v>3196000</v>
      </c>
      <c r="AF16" s="165">
        <f>(MIN(VALUE($G16),[1]Assu!$E$3))*AF$9</f>
        <v>4624000</v>
      </c>
      <c r="AG16" s="165">
        <f t="shared" ref="AG16" si="13">Q16*$AG$9/12</f>
        <v>1200063.1666666667</v>
      </c>
      <c r="AH16" s="165">
        <f t="shared" si="11"/>
        <v>0</v>
      </c>
      <c r="AI16" s="48"/>
      <c r="AJ16" s="48" t="s">
        <v>390</v>
      </c>
      <c r="AK16" s="48"/>
      <c r="AL16" s="48"/>
      <c r="AM16" s="48" t="s">
        <v>301</v>
      </c>
      <c r="AN16" s="123" t="s">
        <v>229</v>
      </c>
      <c r="AO16" s="168" t="s">
        <v>141</v>
      </c>
      <c r="AP16" s="168" t="s">
        <v>160</v>
      </c>
    </row>
    <row r="17" spans="1:46">
      <c r="A17" s="156">
        <v>8</v>
      </c>
      <c r="B17" s="243" t="s">
        <v>280</v>
      </c>
      <c r="C17" s="244" t="s">
        <v>168</v>
      </c>
      <c r="D17" s="152" t="s">
        <v>170</v>
      </c>
      <c r="E17" s="152">
        <v>43619</v>
      </c>
      <c r="F17" s="158" t="s">
        <v>281</v>
      </c>
      <c r="G17" s="285">
        <v>8000000</v>
      </c>
      <c r="H17" s="287">
        <v>22</v>
      </c>
      <c r="I17" s="287">
        <v>0</v>
      </c>
      <c r="J17" s="287">
        <f t="shared" si="3"/>
        <v>22</v>
      </c>
      <c r="K17" s="242">
        <f t="shared" si="0"/>
        <v>8000000</v>
      </c>
      <c r="L17" s="50"/>
      <c r="M17" s="162">
        <f t="shared" si="4"/>
        <v>8000000</v>
      </c>
      <c r="N17" s="248">
        <v>344988</v>
      </c>
      <c r="O17" s="50"/>
      <c r="P17" s="50"/>
      <c r="Q17" s="164">
        <f t="shared" si="5"/>
        <v>8344988</v>
      </c>
      <c r="R17" s="165">
        <f>(MIN(VALUE($G17),[1]Assu!$E$3))*R$9</f>
        <v>640000</v>
      </c>
      <c r="S17" s="165">
        <f>(MIN(VALUE($G17),[1]Assu!$E$4))*S$9</f>
        <v>120000</v>
      </c>
      <c r="T17" s="165">
        <f>(MIN(VALUE($G17),[1]Assu!$E$5))*T$9</f>
        <v>80000</v>
      </c>
      <c r="U17" s="159">
        <f t="shared" si="6"/>
        <v>840000</v>
      </c>
      <c r="V17" s="159">
        <v>0</v>
      </c>
      <c r="W17" s="50">
        <f t="shared" si="7"/>
        <v>0</v>
      </c>
      <c r="X17" s="50">
        <f t="shared" si="1"/>
        <v>11000000</v>
      </c>
      <c r="Y17" s="159">
        <f t="shared" si="8"/>
        <v>11000000</v>
      </c>
      <c r="Z17" s="50">
        <f t="shared" si="2"/>
        <v>0</v>
      </c>
      <c r="AA17" s="290">
        <f t="shared" si="9"/>
        <v>0</v>
      </c>
      <c r="AB17" s="159"/>
      <c r="AC17" s="166"/>
      <c r="AD17" s="164">
        <f t="shared" si="12"/>
        <v>7504988</v>
      </c>
      <c r="AE17" s="165">
        <f>(MIN(VALUE($G17),[1]Assu!$E$3))*AE$9</f>
        <v>1880000</v>
      </c>
      <c r="AF17" s="165">
        <f>(MIN(VALUE($G17),[1]Assu!$E$3))*AF$9</f>
        <v>2719999.9999999995</v>
      </c>
      <c r="AG17" s="165">
        <f t="shared" si="10"/>
        <v>695415.66666666663</v>
      </c>
      <c r="AH17" s="165">
        <f t="shared" si="11"/>
        <v>0</v>
      </c>
      <c r="AI17" s="48"/>
      <c r="AJ17" s="48" t="s">
        <v>390</v>
      </c>
      <c r="AK17" s="48"/>
      <c r="AL17" s="48"/>
      <c r="AM17" s="48" t="s">
        <v>301</v>
      </c>
      <c r="AN17" s="123" t="s">
        <v>329</v>
      </c>
      <c r="AO17" s="168" t="s">
        <v>141</v>
      </c>
      <c r="AP17" s="168" t="s">
        <v>160</v>
      </c>
    </row>
    <row r="18" spans="1:46">
      <c r="A18" s="156">
        <v>9</v>
      </c>
      <c r="B18" s="157" t="s">
        <v>120</v>
      </c>
      <c r="C18" s="244" t="s">
        <v>168</v>
      </c>
      <c r="D18" s="227" t="s">
        <v>194</v>
      </c>
      <c r="E18" s="124">
        <v>40848</v>
      </c>
      <c r="F18" s="247" t="s">
        <v>121</v>
      </c>
      <c r="G18" s="285">
        <v>20000000</v>
      </c>
      <c r="H18" s="287">
        <v>22</v>
      </c>
      <c r="I18" s="287">
        <v>0</v>
      </c>
      <c r="J18" s="287">
        <f t="shared" si="3"/>
        <v>22</v>
      </c>
      <c r="K18" s="242">
        <f t="shared" si="0"/>
        <v>20000000</v>
      </c>
      <c r="L18" s="51"/>
      <c r="M18" s="162">
        <f t="shared" si="4"/>
        <v>20000000</v>
      </c>
      <c r="N18" s="50"/>
      <c r="O18" s="50"/>
      <c r="P18" s="172">
        <v>500000</v>
      </c>
      <c r="Q18" s="164">
        <f t="shared" si="5"/>
        <v>20500000</v>
      </c>
      <c r="R18" s="165">
        <f>(MIN(VALUE($G18),[1]Assu!$E$3))*R$9</f>
        <v>1600000</v>
      </c>
      <c r="S18" s="165">
        <f>(MIN(VALUE($G18),[1]Assu!$E$4))*S$9</f>
        <v>300000</v>
      </c>
      <c r="T18" s="165">
        <f>(MIN(VALUE($G18),[1]Assu!$E$5))*T$9</f>
        <v>200000</v>
      </c>
      <c r="U18" s="159">
        <f t="shared" si="6"/>
        <v>2100000</v>
      </c>
      <c r="V18" s="159">
        <v>1</v>
      </c>
      <c r="W18" s="50">
        <f t="shared" si="7"/>
        <v>4400000</v>
      </c>
      <c r="X18" s="50">
        <f t="shared" si="1"/>
        <v>11000000</v>
      </c>
      <c r="Y18" s="159">
        <f t="shared" si="8"/>
        <v>15400000</v>
      </c>
      <c r="Z18" s="50">
        <f t="shared" si="2"/>
        <v>3000000</v>
      </c>
      <c r="AA18" s="290">
        <f t="shared" si="9"/>
        <v>150000</v>
      </c>
      <c r="AB18" s="159"/>
      <c r="AC18" s="166"/>
      <c r="AD18" s="164">
        <f t="shared" si="12"/>
        <v>18250000</v>
      </c>
      <c r="AE18" s="165">
        <f>(MIN(VALUE($G18),[1]Assu!$E$3))*AE$9</f>
        <v>4700000</v>
      </c>
      <c r="AF18" s="165">
        <f>(MIN(VALUE($G18),[1]Assu!$E$3))*AF$9</f>
        <v>6799999.9999999991</v>
      </c>
      <c r="AG18" s="165">
        <f t="shared" si="10"/>
        <v>1708333.3333333333</v>
      </c>
      <c r="AH18" s="165">
        <f t="shared" si="11"/>
        <v>150000</v>
      </c>
      <c r="AI18" s="48"/>
      <c r="AJ18" s="48"/>
      <c r="AK18" s="48"/>
      <c r="AL18" s="48" t="s">
        <v>391</v>
      </c>
      <c r="AM18" s="48" t="s">
        <v>301</v>
      </c>
      <c r="AN18" s="123" t="s">
        <v>225</v>
      </c>
      <c r="AO18" s="168" t="s">
        <v>144</v>
      </c>
      <c r="AP18" s="168" t="s">
        <v>160</v>
      </c>
    </row>
    <row r="19" spans="1:46">
      <c r="A19" s="156">
        <v>10</v>
      </c>
      <c r="B19" s="157" t="s">
        <v>124</v>
      </c>
      <c r="C19" s="244" t="s">
        <v>168</v>
      </c>
      <c r="D19" s="227" t="s">
        <v>194</v>
      </c>
      <c r="E19" s="124">
        <v>41855</v>
      </c>
      <c r="F19" s="247" t="s">
        <v>125</v>
      </c>
      <c r="G19" s="285">
        <v>12000000</v>
      </c>
      <c r="H19" s="287">
        <v>22</v>
      </c>
      <c r="I19" s="287">
        <v>0</v>
      </c>
      <c r="J19" s="287">
        <f t="shared" si="3"/>
        <v>22</v>
      </c>
      <c r="K19" s="242">
        <f t="shared" si="0"/>
        <v>12000000</v>
      </c>
      <c r="L19" s="292"/>
      <c r="M19" s="162">
        <f t="shared" si="4"/>
        <v>12000000</v>
      </c>
      <c r="N19" s="50"/>
      <c r="O19" s="50"/>
      <c r="P19" s="172">
        <v>500000</v>
      </c>
      <c r="Q19" s="164">
        <f t="shared" si="5"/>
        <v>12500000</v>
      </c>
      <c r="R19" s="165">
        <f>(MIN(VALUE($G19),[1]Assu!$E$3))*R$9</f>
        <v>960000</v>
      </c>
      <c r="S19" s="165">
        <f>(MIN(VALUE($G19),[1]Assu!$E$4))*S$9</f>
        <v>180000</v>
      </c>
      <c r="T19" s="165">
        <f>(MIN(VALUE($G19),[1]Assu!$E$5))*T$9</f>
        <v>120000</v>
      </c>
      <c r="U19" s="159">
        <f t="shared" si="6"/>
        <v>1260000</v>
      </c>
      <c r="V19" s="159">
        <v>1</v>
      </c>
      <c r="W19" s="50">
        <f t="shared" si="7"/>
        <v>4400000</v>
      </c>
      <c r="X19" s="50">
        <f t="shared" si="1"/>
        <v>11000000</v>
      </c>
      <c r="Y19" s="159">
        <f t="shared" si="8"/>
        <v>15400000</v>
      </c>
      <c r="Z19" s="50">
        <f t="shared" si="2"/>
        <v>0</v>
      </c>
      <c r="AA19" s="290">
        <f t="shared" si="9"/>
        <v>0</v>
      </c>
      <c r="AB19" s="159"/>
      <c r="AC19" s="166"/>
      <c r="AD19" s="164">
        <f t="shared" si="12"/>
        <v>11240000</v>
      </c>
      <c r="AE19" s="165">
        <f>(MIN(VALUE($G19),[1]Assu!$E$3))*AE$9</f>
        <v>2820000</v>
      </c>
      <c r="AF19" s="165">
        <f>(MIN(VALUE($G19),[1]Assu!$E$3))*AF$9</f>
        <v>4079999.9999999995</v>
      </c>
      <c r="AG19" s="165">
        <f t="shared" si="10"/>
        <v>1041666.6666666666</v>
      </c>
      <c r="AH19" s="165">
        <f t="shared" si="11"/>
        <v>0</v>
      </c>
      <c r="AI19" s="48"/>
      <c r="AJ19" s="48"/>
      <c r="AK19" s="48"/>
      <c r="AL19" s="48" t="s">
        <v>391</v>
      </c>
      <c r="AM19" s="48" t="s">
        <v>301</v>
      </c>
      <c r="AN19" s="123" t="s">
        <v>226</v>
      </c>
      <c r="AO19" s="168" t="s">
        <v>141</v>
      </c>
      <c r="AP19" s="168" t="s">
        <v>160</v>
      </c>
    </row>
    <row r="20" spans="1:46">
      <c r="A20" s="156">
        <v>11</v>
      </c>
      <c r="B20" s="173" t="s">
        <v>116</v>
      </c>
      <c r="C20" s="244" t="s">
        <v>168</v>
      </c>
      <c r="D20" s="227" t="s">
        <v>194</v>
      </c>
      <c r="E20" s="124">
        <v>42736</v>
      </c>
      <c r="F20" s="158" t="s">
        <v>117</v>
      </c>
      <c r="G20" s="322">
        <v>7500000</v>
      </c>
      <c r="H20" s="287">
        <v>22</v>
      </c>
      <c r="I20" s="287">
        <v>0</v>
      </c>
      <c r="J20" s="287">
        <f t="shared" si="3"/>
        <v>22</v>
      </c>
      <c r="K20" s="242">
        <f t="shared" si="0"/>
        <v>7499999.9999999991</v>
      </c>
      <c r="L20" s="297"/>
      <c r="M20" s="162">
        <f t="shared" si="4"/>
        <v>7499999.9999999991</v>
      </c>
      <c r="N20" s="50"/>
      <c r="O20" s="50"/>
      <c r="P20" s="159">
        <v>500000</v>
      </c>
      <c r="Q20" s="164">
        <f t="shared" si="5"/>
        <v>7999999.9999999991</v>
      </c>
      <c r="R20" s="165">
        <f>(MIN(VALUE($G20),[1]Assu!$E$3))*R$9</f>
        <v>600000</v>
      </c>
      <c r="S20" s="165">
        <f>(MIN(VALUE($G20),[1]Assu!$E$4))*S$9</f>
        <v>112500</v>
      </c>
      <c r="T20" s="165">
        <f>(MIN(VALUE($G20),[1]Assu!$E$5))*T$9</f>
        <v>75000</v>
      </c>
      <c r="U20" s="159">
        <f t="shared" si="6"/>
        <v>787500</v>
      </c>
      <c r="V20" s="159">
        <v>0</v>
      </c>
      <c r="W20" s="50">
        <f t="shared" si="7"/>
        <v>0</v>
      </c>
      <c r="X20" s="50">
        <f t="shared" si="1"/>
        <v>11000000</v>
      </c>
      <c r="Y20" s="159">
        <f t="shared" si="8"/>
        <v>11000000</v>
      </c>
      <c r="Z20" s="50">
        <f t="shared" si="2"/>
        <v>0</v>
      </c>
      <c r="AA20" s="290">
        <f t="shared" si="9"/>
        <v>0</v>
      </c>
      <c r="AB20" s="159"/>
      <c r="AC20" s="166"/>
      <c r="AD20" s="164">
        <f t="shared" si="12"/>
        <v>7212499.9999999991</v>
      </c>
      <c r="AE20" s="165">
        <f>(MIN(VALUE($G20),[1]Assu!$E$3))*AE$9</f>
        <v>1762500</v>
      </c>
      <c r="AF20" s="165">
        <f>(MIN(VALUE($G20),[1]Assu!$E$3))*AF$9</f>
        <v>2549999.9999999995</v>
      </c>
      <c r="AG20" s="165">
        <f t="shared" si="10"/>
        <v>666666.66666666663</v>
      </c>
      <c r="AH20" s="165">
        <f t="shared" si="11"/>
        <v>0</v>
      </c>
      <c r="AI20" s="48"/>
      <c r="AJ20" s="48"/>
      <c r="AK20" s="48"/>
      <c r="AL20" s="48" t="s">
        <v>391</v>
      </c>
      <c r="AM20" s="48" t="s">
        <v>301</v>
      </c>
      <c r="AN20" s="123" t="s">
        <v>230</v>
      </c>
      <c r="AO20" s="168" t="s">
        <v>143</v>
      </c>
      <c r="AP20" s="168" t="s">
        <v>160</v>
      </c>
      <c r="AT20" s="169"/>
    </row>
    <row r="21" spans="1:46">
      <c r="A21" s="156">
        <v>12</v>
      </c>
      <c r="B21" s="243" t="s">
        <v>282</v>
      </c>
      <c r="C21" s="244" t="s">
        <v>168</v>
      </c>
      <c r="D21" s="227" t="s">
        <v>194</v>
      </c>
      <c r="E21" s="124">
        <v>43675</v>
      </c>
      <c r="F21" s="158" t="s">
        <v>283</v>
      </c>
      <c r="G21" s="285">
        <v>7000000</v>
      </c>
      <c r="H21" s="287">
        <v>22</v>
      </c>
      <c r="I21" s="287">
        <v>0</v>
      </c>
      <c r="J21" s="287">
        <f t="shared" si="3"/>
        <v>22</v>
      </c>
      <c r="K21" s="242">
        <f t="shared" si="0"/>
        <v>7000000</v>
      </c>
      <c r="L21" s="297"/>
      <c r="M21" s="162">
        <f t="shared" si="4"/>
        <v>7000000</v>
      </c>
      <c r="N21" s="50"/>
      <c r="O21" s="50"/>
      <c r="P21" s="159">
        <v>500000</v>
      </c>
      <c r="Q21" s="164">
        <f t="shared" si="5"/>
        <v>7500000</v>
      </c>
      <c r="R21" s="165">
        <f>(MIN(VALUE($G21),[1]Assu!$E$3))*R$9</f>
        <v>560000</v>
      </c>
      <c r="S21" s="165">
        <f>(MIN(VALUE($G21),[1]Assu!$E$4))*S$9</f>
        <v>105000</v>
      </c>
      <c r="T21" s="165">
        <f>(MIN(VALUE($G21),[1]Assu!$E$5))*T$9</f>
        <v>70000</v>
      </c>
      <c r="U21" s="159">
        <f t="shared" si="6"/>
        <v>735000</v>
      </c>
      <c r="V21" s="159">
        <v>0</v>
      </c>
      <c r="W21" s="50">
        <f t="shared" si="7"/>
        <v>0</v>
      </c>
      <c r="X21" s="50">
        <f t="shared" si="1"/>
        <v>11000000</v>
      </c>
      <c r="Y21" s="159">
        <f t="shared" si="8"/>
        <v>11000000</v>
      </c>
      <c r="Z21" s="50">
        <f t="shared" si="2"/>
        <v>0</v>
      </c>
      <c r="AA21" s="290">
        <f t="shared" si="9"/>
        <v>0</v>
      </c>
      <c r="AB21" s="159"/>
      <c r="AC21" s="166"/>
      <c r="AD21" s="164">
        <f t="shared" si="12"/>
        <v>6765000</v>
      </c>
      <c r="AE21" s="165">
        <f>(MIN(VALUE($G21),[1]Assu!$E$3))*AE$9</f>
        <v>1645000</v>
      </c>
      <c r="AF21" s="165">
        <f>(MIN(VALUE($G21),[1]Assu!$E$3))*AF$9</f>
        <v>2380000</v>
      </c>
      <c r="AG21" s="165">
        <f t="shared" si="10"/>
        <v>625000</v>
      </c>
      <c r="AH21" s="165">
        <f t="shared" si="11"/>
        <v>0</v>
      </c>
      <c r="AI21" s="48"/>
      <c r="AJ21" s="48"/>
      <c r="AK21" s="48"/>
      <c r="AL21" s="48" t="s">
        <v>391</v>
      </c>
      <c r="AM21" s="48" t="s">
        <v>301</v>
      </c>
      <c r="AN21" s="123" t="s">
        <v>284</v>
      </c>
      <c r="AO21" s="123" t="s">
        <v>286</v>
      </c>
      <c r="AP21" s="168" t="s">
        <v>160</v>
      </c>
    </row>
    <row r="22" spans="1:46">
      <c r="A22" s="156">
        <v>13</v>
      </c>
      <c r="B22" s="286" t="s">
        <v>367</v>
      </c>
      <c r="C22" s="244" t="s">
        <v>168</v>
      </c>
      <c r="D22" s="227" t="s">
        <v>194</v>
      </c>
      <c r="E22" s="323">
        <v>44200</v>
      </c>
      <c r="F22" s="158" t="s">
        <v>369</v>
      </c>
      <c r="G22" s="285">
        <v>9000000</v>
      </c>
      <c r="H22" s="287">
        <v>22</v>
      </c>
      <c r="I22" s="287">
        <v>0</v>
      </c>
      <c r="J22" s="338">
        <v>13</v>
      </c>
      <c r="K22" s="242">
        <f t="shared" si="0"/>
        <v>5318181.8181818184</v>
      </c>
      <c r="L22" s="297"/>
      <c r="M22" s="162">
        <f t="shared" si="4"/>
        <v>5318181.8181818184</v>
      </c>
      <c r="N22" s="51"/>
      <c r="O22" s="50"/>
      <c r="P22" s="159">
        <v>500000</v>
      </c>
      <c r="Q22" s="164">
        <f t="shared" si="5"/>
        <v>5818181.8181818184</v>
      </c>
      <c r="R22" s="165"/>
      <c r="S22" s="165"/>
      <c r="T22" s="165"/>
      <c r="U22" s="159">
        <f t="shared" si="6"/>
        <v>0</v>
      </c>
      <c r="V22" s="159">
        <v>0</v>
      </c>
      <c r="W22" s="50">
        <f t="shared" si="7"/>
        <v>0</v>
      </c>
      <c r="X22" s="50">
        <f t="shared" si="1"/>
        <v>11000000</v>
      </c>
      <c r="Y22" s="159">
        <f t="shared" si="8"/>
        <v>11000000</v>
      </c>
      <c r="Z22" s="50">
        <f t="shared" si="2"/>
        <v>0</v>
      </c>
      <c r="AA22" s="290">
        <f t="shared" si="9"/>
        <v>0</v>
      </c>
      <c r="AB22" s="159"/>
      <c r="AC22" s="166"/>
      <c r="AD22" s="164">
        <f t="shared" si="12"/>
        <v>5818181.8181818184</v>
      </c>
      <c r="AE22" s="165">
        <f>(MIN(VALUE($G22),[1]Assu!$E$3))*AE$9</f>
        <v>2115000</v>
      </c>
      <c r="AF22" s="165">
        <f>(MIN(VALUE($G22),[1]Assu!$E$3))*AF$9</f>
        <v>3059999.9999999995</v>
      </c>
      <c r="AG22" s="165">
        <f t="shared" si="10"/>
        <v>484848.48484848486</v>
      </c>
      <c r="AH22" s="165">
        <f t="shared" si="11"/>
        <v>0</v>
      </c>
      <c r="AI22" s="48" t="s">
        <v>395</v>
      </c>
      <c r="AJ22" s="48"/>
      <c r="AK22" s="48"/>
      <c r="AL22" s="48" t="s">
        <v>391</v>
      </c>
      <c r="AM22" s="48" t="s">
        <v>301</v>
      </c>
      <c r="AN22" s="123" t="s">
        <v>370</v>
      </c>
      <c r="AO22" s="123" t="s">
        <v>371</v>
      </c>
      <c r="AP22" s="168" t="s">
        <v>160</v>
      </c>
    </row>
    <row r="23" spans="1:46" s="18" customFormat="1">
      <c r="A23" s="156">
        <v>14</v>
      </c>
      <c r="B23" s="288" t="s">
        <v>303</v>
      </c>
      <c r="C23" s="245" t="s">
        <v>165</v>
      </c>
      <c r="D23" s="47" t="s">
        <v>368</v>
      </c>
      <c r="E23" s="124">
        <v>42254</v>
      </c>
      <c r="F23" s="291" t="s">
        <v>304</v>
      </c>
      <c r="G23" s="290">
        <v>8300000</v>
      </c>
      <c r="H23" s="287">
        <v>22</v>
      </c>
      <c r="I23" s="287">
        <v>0</v>
      </c>
      <c r="J23" s="287">
        <f t="shared" si="3"/>
        <v>22</v>
      </c>
      <c r="K23" s="242">
        <f t="shared" si="0"/>
        <v>8300000</v>
      </c>
      <c r="L23" s="50"/>
      <c r="M23" s="162">
        <f t="shared" si="4"/>
        <v>8300000</v>
      </c>
      <c r="N23" s="248">
        <v>1373367</v>
      </c>
      <c r="O23" s="50"/>
      <c r="P23" s="50"/>
      <c r="Q23" s="164">
        <f t="shared" si="5"/>
        <v>9673367</v>
      </c>
      <c r="R23" s="165">
        <f>(MIN(VALUE($G23),[1]Assu!$E$3))*R$9</f>
        <v>664000</v>
      </c>
      <c r="S23" s="165">
        <f>(MIN(VALUE($G23),[1]Assu!$E$4))*S$9</f>
        <v>124500</v>
      </c>
      <c r="T23" s="165">
        <f>(MIN(VALUE($G23),[1]Assu!$E$5))*T$9</f>
        <v>83000</v>
      </c>
      <c r="U23" s="159">
        <f t="shared" si="6"/>
        <v>871500</v>
      </c>
      <c r="V23" s="50">
        <v>0</v>
      </c>
      <c r="W23" s="50">
        <f t="shared" si="7"/>
        <v>0</v>
      </c>
      <c r="X23" s="50">
        <f t="shared" si="1"/>
        <v>11000000</v>
      </c>
      <c r="Y23" s="159">
        <f t="shared" si="8"/>
        <v>11000000</v>
      </c>
      <c r="Z23" s="50">
        <f t="shared" si="2"/>
        <v>0</v>
      </c>
      <c r="AA23" s="290">
        <f t="shared" si="9"/>
        <v>0</v>
      </c>
      <c r="AB23" s="51"/>
      <c r="AC23" s="51"/>
      <c r="AD23" s="164">
        <f t="shared" si="12"/>
        <v>8801867</v>
      </c>
      <c r="AE23" s="165">
        <f>(MIN(VALUE($G23),[1]Assu!$E$3))*AE$9</f>
        <v>1950500</v>
      </c>
      <c r="AF23" s="165">
        <f>(MIN(VALUE($G23),[1]Assu!$E$3))*AF$9</f>
        <v>2821999.9999999995</v>
      </c>
      <c r="AG23" s="165">
        <f t="shared" si="10"/>
        <v>806113.91666666663</v>
      </c>
      <c r="AH23" s="165">
        <f t="shared" si="11"/>
        <v>0</v>
      </c>
      <c r="AI23" s="48"/>
      <c r="AJ23" s="48" t="s">
        <v>389</v>
      </c>
      <c r="AK23" s="48"/>
      <c r="AL23" s="48"/>
      <c r="AM23" s="48" t="s">
        <v>301</v>
      </c>
      <c r="AN23" s="48" t="s">
        <v>305</v>
      </c>
      <c r="AO23" s="48" t="s">
        <v>141</v>
      </c>
      <c r="AP23" s="48" t="s">
        <v>160</v>
      </c>
      <c r="AT23" s="23"/>
    </row>
    <row r="24" spans="1:46">
      <c r="A24" s="156">
        <v>15</v>
      </c>
      <c r="B24" s="157" t="s">
        <v>118</v>
      </c>
      <c r="C24" s="245" t="s">
        <v>165</v>
      </c>
      <c r="D24" s="47" t="s">
        <v>192</v>
      </c>
      <c r="E24" s="124">
        <v>41974</v>
      </c>
      <c r="F24" s="247" t="s">
        <v>119</v>
      </c>
      <c r="G24" s="322">
        <v>16500000</v>
      </c>
      <c r="H24" s="287">
        <v>22</v>
      </c>
      <c r="I24" s="287">
        <v>0</v>
      </c>
      <c r="J24" s="287">
        <f t="shared" si="3"/>
        <v>22</v>
      </c>
      <c r="K24" s="242">
        <f t="shared" si="0"/>
        <v>16500000</v>
      </c>
      <c r="L24" s="292"/>
      <c r="M24" s="162">
        <f t="shared" si="4"/>
        <v>16500000</v>
      </c>
      <c r="N24" s="51"/>
      <c r="O24" s="50"/>
      <c r="P24" s="50"/>
      <c r="Q24" s="164">
        <f t="shared" si="5"/>
        <v>16500000</v>
      </c>
      <c r="R24" s="165">
        <f>(MIN(VALUE($G24),[1]Assu!$E$3))*R$9</f>
        <v>1320000</v>
      </c>
      <c r="S24" s="165">
        <f>(MIN(VALUE($G24),[1]Assu!$E$4))*S$9</f>
        <v>247500</v>
      </c>
      <c r="T24" s="165">
        <f>(MIN(VALUE($G24),[1]Assu!$E$5))*T$9</f>
        <v>165000</v>
      </c>
      <c r="U24" s="159">
        <f t="shared" si="6"/>
        <v>1732500</v>
      </c>
      <c r="V24" s="159">
        <v>0</v>
      </c>
      <c r="W24" s="50">
        <f t="shared" si="7"/>
        <v>0</v>
      </c>
      <c r="X24" s="50">
        <f t="shared" si="1"/>
        <v>11000000</v>
      </c>
      <c r="Y24" s="159">
        <f t="shared" si="8"/>
        <v>11000000</v>
      </c>
      <c r="Z24" s="50">
        <f t="shared" si="2"/>
        <v>3767500</v>
      </c>
      <c r="AA24" s="290">
        <f t="shared" si="9"/>
        <v>188375</v>
      </c>
      <c r="AB24" s="159"/>
      <c r="AC24" s="166"/>
      <c r="AD24" s="164">
        <f t="shared" si="12"/>
        <v>14579125</v>
      </c>
      <c r="AE24" s="165">
        <f>(MIN(VALUE($G24),[1]Assu!$E$3))*AE$9</f>
        <v>3877500</v>
      </c>
      <c r="AF24" s="165">
        <f>(MIN(VALUE($G24),[1]Assu!$E$3))*AF$9</f>
        <v>5609999.9999999991</v>
      </c>
      <c r="AG24" s="165">
        <f t="shared" si="10"/>
        <v>1375000</v>
      </c>
      <c r="AH24" s="165">
        <f t="shared" si="11"/>
        <v>188375</v>
      </c>
      <c r="AI24" s="48"/>
      <c r="AJ24" s="48"/>
      <c r="AK24" s="48"/>
      <c r="AL24" s="48"/>
      <c r="AM24" s="48" t="s">
        <v>301</v>
      </c>
      <c r="AN24" s="123" t="s">
        <v>228</v>
      </c>
      <c r="AO24" s="168" t="s">
        <v>141</v>
      </c>
      <c r="AP24" s="168" t="s">
        <v>160</v>
      </c>
    </row>
    <row r="25" spans="1:46">
      <c r="A25" s="156">
        <v>16</v>
      </c>
      <c r="B25" s="243" t="s">
        <v>291</v>
      </c>
      <c r="C25" s="245" t="s">
        <v>165</v>
      </c>
      <c r="D25" s="227" t="s">
        <v>197</v>
      </c>
      <c r="E25" s="124">
        <v>43804</v>
      </c>
      <c r="F25" s="246" t="s">
        <v>306</v>
      </c>
      <c r="G25" s="285">
        <v>7500000</v>
      </c>
      <c r="H25" s="287">
        <v>22</v>
      </c>
      <c r="I25" s="287">
        <v>0</v>
      </c>
      <c r="J25" s="287">
        <f t="shared" si="3"/>
        <v>22</v>
      </c>
      <c r="K25" s="242">
        <f t="shared" si="0"/>
        <v>7499999.9999999991</v>
      </c>
      <c r="L25" s="50"/>
      <c r="M25" s="162">
        <f t="shared" si="4"/>
        <v>7499999.9999999991</v>
      </c>
      <c r="N25" s="51"/>
      <c r="O25" s="50"/>
      <c r="P25" s="50"/>
      <c r="Q25" s="164">
        <f t="shared" si="5"/>
        <v>7499999.9999999991</v>
      </c>
      <c r="R25" s="165">
        <f>(MIN(VALUE($G25),[1]Assu!$E$3))*R$9</f>
        <v>600000</v>
      </c>
      <c r="S25" s="165">
        <f>(MIN(VALUE($G25),[1]Assu!$E$4))*S$9</f>
        <v>112500</v>
      </c>
      <c r="T25" s="165">
        <f>(MIN(VALUE($G25),[1]Assu!$E$5))*T$9</f>
        <v>75000</v>
      </c>
      <c r="U25" s="159">
        <f t="shared" si="6"/>
        <v>787500</v>
      </c>
      <c r="V25" s="159">
        <v>0</v>
      </c>
      <c r="W25" s="50">
        <f t="shared" si="7"/>
        <v>0</v>
      </c>
      <c r="X25" s="50">
        <f t="shared" si="1"/>
        <v>11000000</v>
      </c>
      <c r="Y25" s="159">
        <f t="shared" si="8"/>
        <v>11000000</v>
      </c>
      <c r="Z25" s="50">
        <f t="shared" si="2"/>
        <v>0</v>
      </c>
      <c r="AA25" s="290">
        <f t="shared" si="9"/>
        <v>0</v>
      </c>
      <c r="AB25" s="159"/>
      <c r="AC25" s="166"/>
      <c r="AD25" s="164">
        <f t="shared" si="12"/>
        <v>6712499.9999999991</v>
      </c>
      <c r="AE25" s="165">
        <f>(MIN(VALUE($G25),[1]Assu!$E$3))*AE$9</f>
        <v>1762500</v>
      </c>
      <c r="AF25" s="165">
        <f>(MIN(VALUE($G25),[1]Assu!$E$3))*AF$9</f>
        <v>2549999.9999999995</v>
      </c>
      <c r="AG25" s="165">
        <f t="shared" si="10"/>
        <v>624999.99999999988</v>
      </c>
      <c r="AH25" s="165">
        <f t="shared" si="11"/>
        <v>0</v>
      </c>
      <c r="AI25" s="48"/>
      <c r="AJ25" s="48"/>
      <c r="AK25" s="48"/>
      <c r="AL25" s="48"/>
      <c r="AM25" s="48" t="s">
        <v>301</v>
      </c>
      <c r="AN25" s="123" t="s">
        <v>292</v>
      </c>
      <c r="AO25" s="123" t="s">
        <v>293</v>
      </c>
      <c r="AP25" s="168" t="s">
        <v>160</v>
      </c>
    </row>
    <row r="26" spans="1:46">
      <c r="A26" s="156">
        <v>17</v>
      </c>
      <c r="B26" s="243" t="s">
        <v>199</v>
      </c>
      <c r="C26" s="245" t="s">
        <v>165</v>
      </c>
      <c r="D26" s="227" t="s">
        <v>197</v>
      </c>
      <c r="E26" s="124">
        <v>43133</v>
      </c>
      <c r="F26" s="236" t="s">
        <v>198</v>
      </c>
      <c r="G26" s="239">
        <v>8850000</v>
      </c>
      <c r="H26" s="287">
        <v>22</v>
      </c>
      <c r="I26" s="287">
        <v>0</v>
      </c>
      <c r="J26" s="287">
        <f t="shared" si="3"/>
        <v>22</v>
      </c>
      <c r="K26" s="242">
        <f t="shared" si="0"/>
        <v>8850000</v>
      </c>
      <c r="L26" s="292">
        <f>800000+1200000+2000000</f>
        <v>4000000</v>
      </c>
      <c r="M26" s="162">
        <f t="shared" si="4"/>
        <v>12850000</v>
      </c>
      <c r="N26" s="248">
        <v>0</v>
      </c>
      <c r="O26" s="50"/>
      <c r="P26" s="50"/>
      <c r="Q26" s="164">
        <f t="shared" si="5"/>
        <v>12850000</v>
      </c>
      <c r="R26" s="165">
        <f>(MIN(VALUE($G26),[1]Assu!$E$3))*R$9</f>
        <v>708000</v>
      </c>
      <c r="S26" s="165">
        <f>(MIN(VALUE($G26),[1]Assu!$E$4))*S$9</f>
        <v>132750</v>
      </c>
      <c r="T26" s="165">
        <f>(MIN(VALUE($G26),[1]Assu!$E$5))*T$9</f>
        <v>88500</v>
      </c>
      <c r="U26" s="159">
        <f t="shared" si="6"/>
        <v>929250</v>
      </c>
      <c r="V26" s="159">
        <v>0</v>
      </c>
      <c r="W26" s="50">
        <f t="shared" si="7"/>
        <v>0</v>
      </c>
      <c r="X26" s="50">
        <f t="shared" si="1"/>
        <v>11000000</v>
      </c>
      <c r="Y26" s="159">
        <f t="shared" si="8"/>
        <v>11000000</v>
      </c>
      <c r="Z26" s="50">
        <f t="shared" si="2"/>
        <v>920750</v>
      </c>
      <c r="AA26" s="290">
        <f t="shared" si="9"/>
        <v>46037.5</v>
      </c>
      <c r="AB26" s="159"/>
      <c r="AC26" s="166"/>
      <c r="AD26" s="164">
        <f t="shared" si="12"/>
        <v>11874712.5</v>
      </c>
      <c r="AE26" s="165">
        <f>(MIN(VALUE($G26),[1]Assu!$E$3))*AE$9</f>
        <v>2079749.9999999998</v>
      </c>
      <c r="AF26" s="165">
        <f>(MIN(VALUE($G26),[1]Assu!$E$3))*AF$9</f>
        <v>3008999.9999999995</v>
      </c>
      <c r="AG26" s="165">
        <f t="shared" si="10"/>
        <v>1070833.3333333333</v>
      </c>
      <c r="AH26" s="165">
        <f t="shared" si="11"/>
        <v>46037.5</v>
      </c>
      <c r="AI26" s="48" t="s">
        <v>388</v>
      </c>
      <c r="AJ26" s="48" t="s">
        <v>392</v>
      </c>
      <c r="AK26" s="48"/>
      <c r="AL26" s="48"/>
      <c r="AM26" s="48" t="s">
        <v>301</v>
      </c>
      <c r="AN26" s="123" t="s">
        <v>222</v>
      </c>
      <c r="AO26" s="168" t="s">
        <v>200</v>
      </c>
      <c r="AP26" s="168" t="s">
        <v>160</v>
      </c>
    </row>
    <row r="27" spans="1:46">
      <c r="A27" s="156">
        <v>18</v>
      </c>
      <c r="B27" s="243" t="s">
        <v>287</v>
      </c>
      <c r="C27" s="245" t="s">
        <v>165</v>
      </c>
      <c r="D27" s="227" t="s">
        <v>197</v>
      </c>
      <c r="E27" s="124">
        <v>43725</v>
      </c>
      <c r="F27" s="246" t="s">
        <v>290</v>
      </c>
      <c r="G27" s="285">
        <v>7000000</v>
      </c>
      <c r="H27" s="287">
        <v>22</v>
      </c>
      <c r="I27" s="287">
        <v>0</v>
      </c>
      <c r="J27" s="287">
        <f t="shared" si="3"/>
        <v>22</v>
      </c>
      <c r="K27" s="242">
        <f t="shared" si="0"/>
        <v>7000000</v>
      </c>
      <c r="L27" s="50">
        <f>650000+750000</f>
        <v>1400000</v>
      </c>
      <c r="M27" s="162">
        <f t="shared" si="4"/>
        <v>8400000</v>
      </c>
      <c r="N27" s="248">
        <v>0</v>
      </c>
      <c r="O27" s="50"/>
      <c r="P27" s="50"/>
      <c r="Q27" s="164">
        <f t="shared" si="5"/>
        <v>8400000</v>
      </c>
      <c r="R27" s="165">
        <f>(MIN(VALUE($G27),[1]Assu!$E$3))*R$9</f>
        <v>560000</v>
      </c>
      <c r="S27" s="165">
        <f>(MIN(VALUE($G27),[1]Assu!$E$4))*S$9</f>
        <v>105000</v>
      </c>
      <c r="T27" s="165">
        <f>(MIN(VALUE($G27),[1]Assu!$E$5))*T$9</f>
        <v>70000</v>
      </c>
      <c r="U27" s="159">
        <f t="shared" si="6"/>
        <v>735000</v>
      </c>
      <c r="V27" s="159">
        <v>0</v>
      </c>
      <c r="W27" s="50">
        <f t="shared" si="7"/>
        <v>0</v>
      </c>
      <c r="X27" s="50">
        <f t="shared" si="1"/>
        <v>11000000</v>
      </c>
      <c r="Y27" s="159">
        <f t="shared" si="8"/>
        <v>11000000</v>
      </c>
      <c r="Z27" s="50">
        <f t="shared" si="2"/>
        <v>0</v>
      </c>
      <c r="AA27" s="290">
        <f t="shared" si="9"/>
        <v>0</v>
      </c>
      <c r="AB27" s="159"/>
      <c r="AC27" s="166"/>
      <c r="AD27" s="164">
        <f t="shared" si="12"/>
        <v>7665000</v>
      </c>
      <c r="AE27" s="165">
        <f>(MIN(VALUE($G27),[1]Assu!$E$3))*AE$9</f>
        <v>1645000</v>
      </c>
      <c r="AF27" s="165">
        <f>(MIN(VALUE($G27),[1]Assu!$E$3))*AF$9</f>
        <v>2380000</v>
      </c>
      <c r="AG27" s="165">
        <f t="shared" si="10"/>
        <v>700000</v>
      </c>
      <c r="AH27" s="165">
        <f t="shared" si="11"/>
        <v>0</v>
      </c>
      <c r="AI27" s="48" t="s">
        <v>388</v>
      </c>
      <c r="AJ27" s="48" t="s">
        <v>392</v>
      </c>
      <c r="AK27" s="48"/>
      <c r="AL27" s="48"/>
      <c r="AM27" s="48" t="s">
        <v>301</v>
      </c>
      <c r="AN27" s="123" t="s">
        <v>289</v>
      </c>
      <c r="AO27" s="123" t="s">
        <v>288</v>
      </c>
      <c r="AP27" s="168" t="s">
        <v>160</v>
      </c>
    </row>
    <row r="28" spans="1:46">
      <c r="A28" s="156">
        <v>19</v>
      </c>
      <c r="B28" s="243" t="s">
        <v>211</v>
      </c>
      <c r="C28" s="245" t="s">
        <v>165</v>
      </c>
      <c r="D28" s="227" t="s">
        <v>368</v>
      </c>
      <c r="E28" s="124">
        <v>43374</v>
      </c>
      <c r="F28" s="246" t="s">
        <v>212</v>
      </c>
      <c r="G28" s="285">
        <v>8000000</v>
      </c>
      <c r="H28" s="287">
        <v>22</v>
      </c>
      <c r="I28" s="287">
        <v>0</v>
      </c>
      <c r="J28" s="287">
        <f t="shared" si="3"/>
        <v>22</v>
      </c>
      <c r="K28" s="242">
        <f t="shared" si="0"/>
        <v>8000000</v>
      </c>
      <c r="L28" s="292">
        <f>1800000+1200000</f>
        <v>3000000</v>
      </c>
      <c r="M28" s="162">
        <f t="shared" si="4"/>
        <v>11000000</v>
      </c>
      <c r="N28" s="248">
        <v>2783308</v>
      </c>
      <c r="O28" s="50"/>
      <c r="P28" s="50"/>
      <c r="Q28" s="164">
        <f t="shared" si="5"/>
        <v>13783308</v>
      </c>
      <c r="R28" s="165">
        <f>(MIN(VALUE($G28),[1]Assu!$E$3))*R$9</f>
        <v>640000</v>
      </c>
      <c r="S28" s="165">
        <f>(MIN(VALUE($G28),[1]Assu!$E$4))*S$9</f>
        <v>120000</v>
      </c>
      <c r="T28" s="165">
        <f>(MIN(VALUE($G28),[1]Assu!$E$5))*T$9</f>
        <v>80000</v>
      </c>
      <c r="U28" s="159">
        <f t="shared" si="6"/>
        <v>840000</v>
      </c>
      <c r="V28" s="159">
        <v>1</v>
      </c>
      <c r="W28" s="50">
        <f t="shared" si="7"/>
        <v>4400000</v>
      </c>
      <c r="X28" s="50">
        <f t="shared" si="1"/>
        <v>11000000</v>
      </c>
      <c r="Y28" s="159">
        <f t="shared" si="8"/>
        <v>15400000</v>
      </c>
      <c r="Z28" s="50">
        <f t="shared" si="2"/>
        <v>0</v>
      </c>
      <c r="AA28" s="290">
        <f t="shared" si="9"/>
        <v>0</v>
      </c>
      <c r="AB28" s="159"/>
      <c r="AC28" s="166"/>
      <c r="AD28" s="164">
        <f t="shared" si="12"/>
        <v>12943308</v>
      </c>
      <c r="AE28" s="165">
        <f>(MIN(VALUE($G28),[1]Assu!$E$3))*AE$9</f>
        <v>1880000</v>
      </c>
      <c r="AF28" s="165">
        <f>(MIN(VALUE($G28),[1]Assu!$E$3))*AF$9</f>
        <v>2719999.9999999995</v>
      </c>
      <c r="AG28" s="165">
        <f t="shared" si="10"/>
        <v>1148609</v>
      </c>
      <c r="AH28" s="165">
        <f t="shared" si="11"/>
        <v>0</v>
      </c>
      <c r="AI28" s="48" t="s">
        <v>388</v>
      </c>
      <c r="AJ28" s="48" t="s">
        <v>393</v>
      </c>
      <c r="AK28" s="48"/>
      <c r="AL28" s="48"/>
      <c r="AM28" s="48" t="s">
        <v>301</v>
      </c>
      <c r="AN28" s="123" t="s">
        <v>213</v>
      </c>
      <c r="AO28" s="123" t="s">
        <v>214</v>
      </c>
      <c r="AP28" s="168" t="s">
        <v>160</v>
      </c>
    </row>
    <row r="29" spans="1:46">
      <c r="A29" s="156">
        <v>20</v>
      </c>
      <c r="B29" s="243" t="s">
        <v>317</v>
      </c>
      <c r="C29" s="245" t="s">
        <v>165</v>
      </c>
      <c r="D29" s="227" t="s">
        <v>368</v>
      </c>
      <c r="E29" s="124">
        <v>44074</v>
      </c>
      <c r="F29" s="246" t="s">
        <v>321</v>
      </c>
      <c r="G29" s="285">
        <v>7500000</v>
      </c>
      <c r="H29" s="287">
        <v>22</v>
      </c>
      <c r="I29" s="287">
        <v>0</v>
      </c>
      <c r="J29" s="287">
        <f t="shared" si="3"/>
        <v>22</v>
      </c>
      <c r="K29" s="242">
        <f t="shared" si="0"/>
        <v>7499999.9999999991</v>
      </c>
      <c r="L29" s="50">
        <f>1800000</f>
        <v>1800000</v>
      </c>
      <c r="M29" s="162">
        <f t="shared" si="4"/>
        <v>9300000</v>
      </c>
      <c r="N29" s="248">
        <v>2678337</v>
      </c>
      <c r="O29" s="50"/>
      <c r="P29" s="50"/>
      <c r="Q29" s="164">
        <f t="shared" si="5"/>
        <v>11978337</v>
      </c>
      <c r="R29" s="165">
        <f>(MIN(VALUE($G29),[1]Assu!$E$3))*R$9</f>
        <v>600000</v>
      </c>
      <c r="S29" s="165">
        <f>(MIN(VALUE($G29),[1]Assu!$E$4))*S$9</f>
        <v>112500</v>
      </c>
      <c r="T29" s="165">
        <f>(MIN(VALUE($G29),[1]Assu!$E$5))*T$9</f>
        <v>75000</v>
      </c>
      <c r="U29" s="159">
        <f t="shared" si="6"/>
        <v>787500</v>
      </c>
      <c r="V29" s="159">
        <v>0</v>
      </c>
      <c r="W29" s="50">
        <f t="shared" si="7"/>
        <v>0</v>
      </c>
      <c r="X29" s="50">
        <f t="shared" si="1"/>
        <v>11000000</v>
      </c>
      <c r="Y29" s="159">
        <f t="shared" si="8"/>
        <v>11000000</v>
      </c>
      <c r="Z29" s="50">
        <f t="shared" si="2"/>
        <v>190837</v>
      </c>
      <c r="AA29" s="290">
        <f t="shared" si="9"/>
        <v>9541.85</v>
      </c>
      <c r="AB29" s="159"/>
      <c r="AC29" s="166"/>
      <c r="AD29" s="164">
        <f t="shared" si="12"/>
        <v>11181295.15</v>
      </c>
      <c r="AE29" s="165">
        <f>(MIN(VALUE($G29),[1]Assu!$E$3))*AE$9</f>
        <v>1762500</v>
      </c>
      <c r="AF29" s="165">
        <f>(MIN(VALUE($G29),[1]Assu!$E$3))*AF$9</f>
        <v>2549999.9999999995</v>
      </c>
      <c r="AG29" s="165">
        <f t="shared" si="10"/>
        <v>998194.75</v>
      </c>
      <c r="AH29" s="165">
        <f t="shared" si="11"/>
        <v>9541.85</v>
      </c>
      <c r="AI29" s="48" t="s">
        <v>388</v>
      </c>
      <c r="AJ29" s="48" t="s">
        <v>393</v>
      </c>
      <c r="AK29" s="48"/>
      <c r="AL29" s="48"/>
      <c r="AM29" s="48" t="s">
        <v>301</v>
      </c>
      <c r="AN29" s="123" t="s">
        <v>318</v>
      </c>
      <c r="AO29" s="123" t="s">
        <v>319</v>
      </c>
      <c r="AP29" s="168" t="s">
        <v>160</v>
      </c>
    </row>
    <row r="30" spans="1:46">
      <c r="A30" s="156">
        <v>21</v>
      </c>
      <c r="B30" s="243"/>
      <c r="C30" s="47"/>
      <c r="D30" s="47"/>
      <c r="E30" s="124"/>
      <c r="F30" s="171"/>
      <c r="G30" s="239">
        <v>0</v>
      </c>
      <c r="H30" s="287">
        <v>22</v>
      </c>
      <c r="I30" s="287">
        <v>0</v>
      </c>
      <c r="J30" s="287">
        <f t="shared" si="3"/>
        <v>22</v>
      </c>
      <c r="K30" s="242">
        <f t="shared" si="0"/>
        <v>0</v>
      </c>
      <c r="L30" s="161"/>
      <c r="M30" s="162">
        <f t="shared" si="4"/>
        <v>0</v>
      </c>
      <c r="N30" s="159"/>
      <c r="O30" s="50"/>
      <c r="P30" s="50"/>
      <c r="Q30" s="164">
        <f t="shared" si="5"/>
        <v>0</v>
      </c>
      <c r="R30" s="165">
        <f>(MIN(VALUE($G30),[1]Assu!$E$3))*R$9</f>
        <v>0</v>
      </c>
      <c r="S30" s="165">
        <f>(MIN(VALUE($G30),[1]Assu!$E$4))*S$9</f>
        <v>0</v>
      </c>
      <c r="T30" s="165">
        <f>(MIN(VALUE($G30),[1]Assu!$E$5))*T$9</f>
        <v>0</v>
      </c>
      <c r="U30" s="159">
        <f t="shared" si="6"/>
        <v>0</v>
      </c>
      <c r="V30" s="159">
        <v>0</v>
      </c>
      <c r="W30" s="50">
        <f t="shared" si="7"/>
        <v>0</v>
      </c>
      <c r="X30" s="50">
        <f t="shared" si="1"/>
        <v>0</v>
      </c>
      <c r="Y30" s="159">
        <f t="shared" si="8"/>
        <v>0</v>
      </c>
      <c r="Z30" s="50">
        <f t="shared" si="2"/>
        <v>0</v>
      </c>
      <c r="AA30" s="290">
        <f t="shared" si="9"/>
        <v>0</v>
      </c>
      <c r="AB30" s="159"/>
      <c r="AC30" s="166"/>
      <c r="AD30" s="164">
        <f t="shared" si="12"/>
        <v>0</v>
      </c>
      <c r="AE30" s="165">
        <f>(MIN(VALUE($G30),[1]Assu!$E$3))*AE$9</f>
        <v>0</v>
      </c>
      <c r="AF30" s="165">
        <f>(MIN(VALUE($G30),[1]Assu!$E$3))*AF$9</f>
        <v>0</v>
      </c>
      <c r="AG30" s="165">
        <f t="shared" si="10"/>
        <v>0</v>
      </c>
      <c r="AH30" s="165">
        <f t="shared" si="11"/>
        <v>0</v>
      </c>
      <c r="AI30" s="48"/>
      <c r="AJ30" s="48"/>
      <c r="AK30" s="48"/>
      <c r="AL30" s="48"/>
      <c r="AM30" s="52"/>
      <c r="AN30" s="123"/>
      <c r="AO30" s="123"/>
      <c r="AP30" s="168"/>
    </row>
    <row r="31" spans="1:46">
      <c r="A31" s="156">
        <v>22</v>
      </c>
      <c r="B31" s="157"/>
      <c r="C31" s="47"/>
      <c r="D31" s="47"/>
      <c r="E31" s="124"/>
      <c r="F31" s="247"/>
      <c r="G31" s="239">
        <v>0</v>
      </c>
      <c r="H31" s="287">
        <v>22</v>
      </c>
      <c r="I31" s="287">
        <v>0</v>
      </c>
      <c r="J31" s="287">
        <f t="shared" si="3"/>
        <v>22</v>
      </c>
      <c r="K31" s="242">
        <f t="shared" si="0"/>
        <v>0</v>
      </c>
      <c r="L31" s="161"/>
      <c r="M31" s="162">
        <f t="shared" si="4"/>
        <v>0</v>
      </c>
      <c r="N31" s="159"/>
      <c r="O31" s="50"/>
      <c r="P31" s="50"/>
      <c r="Q31" s="164">
        <f t="shared" si="5"/>
        <v>0</v>
      </c>
      <c r="R31" s="165">
        <f>(MIN(VALUE($G31),[1]Assu!$E$3))*R$9</f>
        <v>0</v>
      </c>
      <c r="S31" s="165">
        <f>(MIN(VALUE($G31),[1]Assu!$E$4))*S$9</f>
        <v>0</v>
      </c>
      <c r="T31" s="165">
        <f>(MIN(VALUE($G31),[1]Assu!$E$5))*T$9</f>
        <v>0</v>
      </c>
      <c r="U31" s="159">
        <f t="shared" si="6"/>
        <v>0</v>
      </c>
      <c r="V31" s="159">
        <v>0</v>
      </c>
      <c r="W31" s="50">
        <f t="shared" si="7"/>
        <v>0</v>
      </c>
      <c r="X31" s="50">
        <f t="shared" si="1"/>
        <v>0</v>
      </c>
      <c r="Y31" s="159">
        <f t="shared" si="8"/>
        <v>0</v>
      </c>
      <c r="Z31" s="50">
        <f t="shared" si="2"/>
        <v>0</v>
      </c>
      <c r="AA31" s="290">
        <f t="shared" si="9"/>
        <v>0</v>
      </c>
      <c r="AB31" s="159"/>
      <c r="AC31" s="166"/>
      <c r="AD31" s="164">
        <f t="shared" si="12"/>
        <v>0</v>
      </c>
      <c r="AE31" s="165">
        <f>(MIN(VALUE($G31),[1]Assu!$E$3))*AE$9</f>
        <v>0</v>
      </c>
      <c r="AF31" s="165">
        <f>(MIN(VALUE($G31),[1]Assu!$E$3))*AF$9</f>
        <v>0</v>
      </c>
      <c r="AG31" s="165">
        <f t="shared" si="10"/>
        <v>0</v>
      </c>
      <c r="AH31" s="165">
        <f t="shared" si="11"/>
        <v>0</v>
      </c>
      <c r="AI31" s="48"/>
      <c r="AJ31" s="48"/>
      <c r="AK31" s="48"/>
      <c r="AL31" s="48"/>
      <c r="AM31" s="167"/>
      <c r="AN31" s="123"/>
      <c r="AO31" s="168"/>
      <c r="AP31" s="168"/>
    </row>
    <row r="32" spans="1:46">
      <c r="A32" s="156"/>
      <c r="B32" s="157"/>
      <c r="C32" s="47"/>
      <c r="D32" s="47"/>
      <c r="E32" s="152"/>
      <c r="F32" s="171"/>
      <c r="G32" s="239"/>
      <c r="H32" s="287"/>
      <c r="I32" s="287"/>
      <c r="J32" s="287"/>
      <c r="K32" s="161"/>
      <c r="L32" s="161"/>
      <c r="M32" s="162"/>
      <c r="N32" s="159"/>
      <c r="O32" s="50"/>
      <c r="P32" s="50"/>
      <c r="Q32" s="164"/>
      <c r="R32" s="165"/>
      <c r="S32" s="165"/>
      <c r="T32" s="165"/>
      <c r="U32" s="159"/>
      <c r="V32" s="159"/>
      <c r="W32" s="159"/>
      <c r="X32" s="159"/>
      <c r="Y32" s="159"/>
      <c r="Z32" s="159"/>
      <c r="AA32" s="164"/>
      <c r="AB32" s="159"/>
      <c r="AC32" s="166"/>
      <c r="AD32" s="164"/>
      <c r="AE32" s="165"/>
      <c r="AF32" s="165"/>
      <c r="AG32" s="165"/>
      <c r="AH32" s="165"/>
      <c r="AI32" s="48"/>
      <c r="AJ32" s="153"/>
      <c r="AK32" s="153"/>
      <c r="AL32" s="153"/>
      <c r="AM32" s="167"/>
      <c r="AN32" s="168"/>
      <c r="AO32" s="168"/>
      <c r="AP32" s="168"/>
    </row>
    <row r="33" spans="1:42">
      <c r="A33" s="156"/>
      <c r="B33" s="157"/>
      <c r="C33" s="152"/>
      <c r="D33" s="152"/>
      <c r="E33" s="152"/>
      <c r="F33" s="171"/>
      <c r="G33" s="239"/>
      <c r="H33" s="160"/>
      <c r="I33" s="160"/>
      <c r="J33" s="160"/>
      <c r="K33" s="161"/>
      <c r="L33" s="161"/>
      <c r="M33" s="180"/>
      <c r="N33" s="159"/>
      <c r="O33" s="50"/>
      <c r="P33" s="163"/>
      <c r="Q33" s="164">
        <f>SUM(M33:P33)</f>
        <v>0</v>
      </c>
      <c r="R33" s="165">
        <f>(MIN(VALUE($G33),Assu!$E$3))*R$9</f>
        <v>0</v>
      </c>
      <c r="S33" s="165">
        <f>(MIN(VALUE($G33),Assu!$E$3))*S$9</f>
        <v>0</v>
      </c>
      <c r="T33" s="165">
        <f>(MIN(VALUE($G33),Assu!$E$5))*T$9</f>
        <v>0</v>
      </c>
      <c r="U33" s="159"/>
      <c r="V33" s="159"/>
      <c r="W33" s="159"/>
      <c r="X33" s="159"/>
      <c r="Y33" s="159"/>
      <c r="Z33" s="159"/>
      <c r="AA33" s="159"/>
      <c r="AB33" s="159"/>
      <c r="AC33" s="166"/>
      <c r="AD33" s="164">
        <f t="shared" ref="AD33" si="14">Q33-U33-AA33-AB33+AC33</f>
        <v>0</v>
      </c>
      <c r="AE33" s="165">
        <f>(MIN(VALUE($G33),Assu!$E$3))*AE$9</f>
        <v>0</v>
      </c>
      <c r="AF33" s="165">
        <f>(MIN(VALUE($G33),Assu!$E$3))*AF$9</f>
        <v>0</v>
      </c>
      <c r="AG33" s="165">
        <f t="shared" ref="AG33" si="15">Q33*$AG$9/12</f>
        <v>0</v>
      </c>
      <c r="AH33" s="165"/>
      <c r="AI33" s="153"/>
      <c r="AJ33" s="153"/>
      <c r="AK33" s="153"/>
      <c r="AL33" s="153"/>
      <c r="AM33" s="167"/>
      <c r="AN33" s="168"/>
      <c r="AO33" s="168"/>
      <c r="AP33" s="168"/>
    </row>
    <row r="34" spans="1:42" s="176" customFormat="1">
      <c r="A34" s="177"/>
      <c r="B34" s="178"/>
      <c r="C34" s="153"/>
      <c r="D34" s="153"/>
      <c r="E34" s="153"/>
      <c r="F34" s="158"/>
      <c r="G34" s="179"/>
      <c r="H34" s="178"/>
      <c r="I34" s="178"/>
      <c r="J34" s="178"/>
      <c r="K34" s="180"/>
      <c r="L34" s="180"/>
      <c r="M34" s="180"/>
      <c r="N34" s="181"/>
      <c r="O34" s="181"/>
      <c r="P34" s="178"/>
      <c r="Q34" s="180"/>
      <c r="R34" s="165">
        <f>(MIN(VALUE($G34),Assu!$E$3))*R$9</f>
        <v>0</v>
      </c>
      <c r="S34" s="165">
        <f>(MIN(VALUE($G34),Assu!$E$3))*S$9</f>
        <v>0</v>
      </c>
      <c r="T34" s="165">
        <f>(MIN(VALUE($G34),Assu!$E$5))*T$9</f>
        <v>0</v>
      </c>
      <c r="U34" s="178"/>
      <c r="V34" s="182"/>
      <c r="W34" s="179"/>
      <c r="X34" s="179"/>
      <c r="Y34" s="179"/>
      <c r="Z34" s="178"/>
      <c r="AA34" s="178"/>
      <c r="AB34" s="181"/>
      <c r="AC34" s="181"/>
      <c r="AD34" s="182"/>
      <c r="AE34" s="165">
        <f>(MIN(VALUE($G34),Assu!$E$3))*AE$9</f>
        <v>0</v>
      </c>
      <c r="AF34" s="165">
        <f>(MIN(VALUE($G34),Assu!$E$3))*AF$9</f>
        <v>0</v>
      </c>
      <c r="AG34" s="182"/>
      <c r="AH34" s="182"/>
      <c r="AI34" s="153"/>
      <c r="AJ34" s="158"/>
      <c r="AK34" s="158"/>
      <c r="AL34" s="153"/>
      <c r="AM34" s="153"/>
      <c r="AN34" s="153"/>
      <c r="AO34" s="153"/>
      <c r="AP34" s="153"/>
    </row>
    <row r="35" spans="1:42" s="188" customFormat="1">
      <c r="A35" s="183"/>
      <c r="B35" s="180"/>
      <c r="C35" s="184"/>
      <c r="D35" s="184"/>
      <c r="E35" s="184"/>
      <c r="F35" s="185"/>
      <c r="G35" s="186">
        <f>SUM(G10:G33)</f>
        <v>196830000</v>
      </c>
      <c r="H35" s="186"/>
      <c r="I35" s="186"/>
      <c r="J35" s="186"/>
      <c r="K35" s="186">
        <f t="shared" ref="K35:AH35" si="16">SUM(K10:K33)</f>
        <v>187370000</v>
      </c>
      <c r="L35" s="186">
        <f t="shared" si="16"/>
        <v>117700000</v>
      </c>
      <c r="M35" s="186">
        <f t="shared" si="16"/>
        <v>305070000</v>
      </c>
      <c r="N35" s="186">
        <f t="shared" si="16"/>
        <v>9047391</v>
      </c>
      <c r="O35" s="186">
        <f t="shared" si="16"/>
        <v>0</v>
      </c>
      <c r="P35" s="186">
        <f t="shared" si="16"/>
        <v>2500000</v>
      </c>
      <c r="Q35" s="186">
        <f t="shared" si="16"/>
        <v>316617391</v>
      </c>
      <c r="R35" s="186">
        <f t="shared" si="16"/>
        <v>14300000</v>
      </c>
      <c r="S35" s="186">
        <f t="shared" si="16"/>
        <v>2681250</v>
      </c>
      <c r="T35" s="186">
        <f t="shared" si="16"/>
        <v>1787500</v>
      </c>
      <c r="U35" s="186">
        <f t="shared" si="16"/>
        <v>18768750</v>
      </c>
      <c r="V35" s="186">
        <f t="shared" si="16"/>
        <v>5</v>
      </c>
      <c r="W35" s="186">
        <f t="shared" si="16"/>
        <v>22000000</v>
      </c>
      <c r="X35" s="186">
        <f t="shared" si="16"/>
        <v>220000000</v>
      </c>
      <c r="Y35" s="186">
        <f t="shared" si="16"/>
        <v>242000000</v>
      </c>
      <c r="Z35" s="186">
        <f t="shared" si="16"/>
        <v>98759087</v>
      </c>
      <c r="AA35" s="186">
        <f t="shared" si="16"/>
        <v>15493954.35</v>
      </c>
      <c r="AB35" s="186">
        <f t="shared" si="16"/>
        <v>0</v>
      </c>
      <c r="AC35" s="186">
        <f t="shared" si="16"/>
        <v>0</v>
      </c>
      <c r="AD35" s="186">
        <f t="shared" si="16"/>
        <v>288854686.64999998</v>
      </c>
      <c r="AE35" s="186">
        <f t="shared" si="16"/>
        <v>46255050</v>
      </c>
      <c r="AF35" s="186">
        <f t="shared" si="16"/>
        <v>66922199.999999993</v>
      </c>
      <c r="AG35" s="186">
        <f t="shared" si="16"/>
        <v>26384782.583333332</v>
      </c>
      <c r="AH35" s="186">
        <f t="shared" si="16"/>
        <v>15493954.35</v>
      </c>
      <c r="AI35" s="153"/>
      <c r="AJ35" s="187"/>
      <c r="AK35" s="187"/>
      <c r="AL35" s="153"/>
      <c r="AM35" s="153"/>
      <c r="AN35" s="153"/>
      <c r="AO35" s="153"/>
      <c r="AP35" s="153"/>
    </row>
    <row r="36" spans="1:42" s="176" customFormat="1">
      <c r="C36" s="189"/>
      <c r="D36" s="189"/>
      <c r="E36" s="134"/>
      <c r="F36" s="134"/>
      <c r="H36" s="190"/>
      <c r="I36" s="190"/>
      <c r="J36" s="190"/>
      <c r="K36" s="191"/>
      <c r="L36" s="191"/>
      <c r="M36" s="192"/>
      <c r="N36" s="193"/>
      <c r="O36" s="193"/>
      <c r="Q36" s="191"/>
      <c r="R36" s="194"/>
      <c r="S36" s="194"/>
      <c r="T36" s="194"/>
      <c r="U36" s="195"/>
      <c r="V36" s="196"/>
      <c r="W36" s="195"/>
      <c r="X36" s="195"/>
      <c r="Y36" s="195"/>
      <c r="Z36" s="195"/>
      <c r="AA36" s="195"/>
      <c r="AB36" s="197"/>
      <c r="AC36" s="198"/>
      <c r="AD36" s="199"/>
      <c r="AF36" s="194"/>
      <c r="AG36" s="199"/>
      <c r="AH36" s="199"/>
      <c r="AI36" s="134"/>
      <c r="AJ36" s="134"/>
      <c r="AK36" s="134"/>
      <c r="AL36" s="134"/>
      <c r="AM36" s="134"/>
      <c r="AN36" s="134"/>
      <c r="AO36" s="134"/>
      <c r="AP36" s="134"/>
    </row>
    <row r="37" spans="1:42">
      <c r="E37" s="6"/>
      <c r="F37" s="212"/>
      <c r="G37" s="212"/>
      <c r="H37" s="212"/>
      <c r="I37" s="169"/>
      <c r="J37" s="169"/>
      <c r="R37" s="200"/>
      <c r="S37" s="200"/>
      <c r="T37" s="200"/>
      <c r="U37" s="200"/>
      <c r="V37" s="200"/>
      <c r="W37" s="200"/>
      <c r="X37" s="200"/>
      <c r="Y37" s="200"/>
      <c r="Z37" s="203"/>
      <c r="AA37" s="169"/>
      <c r="AB37" s="204"/>
      <c r="AC37" s="131" t="s">
        <v>394</v>
      </c>
      <c r="AD37" s="205">
        <f>AD35+AB35</f>
        <v>288854686.64999998</v>
      </c>
      <c r="AG37" s="302">
        <f>AD35+AF35+AG35</f>
        <v>382161669.23333329</v>
      </c>
      <c r="AH37" s="303">
        <f>AG37/Q35</f>
        <v>1.2070141441893609</v>
      </c>
    </row>
    <row r="38" spans="1:42">
      <c r="C38" s="207"/>
      <c r="D38" s="207"/>
      <c r="E38" s="6"/>
      <c r="F38" s="212"/>
      <c r="G38" s="212"/>
      <c r="H38" s="212"/>
      <c r="I38" s="169"/>
      <c r="J38" s="169"/>
      <c r="K38" s="169"/>
      <c r="L38" s="169"/>
      <c r="M38" s="208"/>
      <c r="R38" s="200"/>
      <c r="S38" s="200"/>
      <c r="T38" s="200"/>
      <c r="U38" s="200"/>
      <c r="V38" s="200"/>
      <c r="W38" s="200"/>
      <c r="X38" s="200"/>
      <c r="Y38" s="200"/>
      <c r="Z38" s="203"/>
      <c r="AA38" s="169"/>
      <c r="AB38" s="209" t="s">
        <v>100</v>
      </c>
      <c r="AC38" s="210" t="s">
        <v>87</v>
      </c>
      <c r="AD38" s="206">
        <f>AD10+AD12</f>
        <v>66470000</v>
      </c>
    </row>
    <row r="39" spans="1:42" ht="14.4">
      <c r="C39" s="207"/>
      <c r="D39" s="207"/>
      <c r="E39" s="7"/>
      <c r="F39" s="212"/>
      <c r="G39" s="212"/>
      <c r="H39" s="212"/>
      <c r="I39" s="169"/>
      <c r="J39" s="169"/>
      <c r="K39" s="169"/>
      <c r="L39" s="169"/>
      <c r="M39" s="208"/>
      <c r="R39" s="200"/>
      <c r="S39" s="200"/>
      <c r="T39" s="200"/>
      <c r="U39" s="200"/>
      <c r="V39" s="200"/>
      <c r="W39" s="200"/>
      <c r="X39" s="200"/>
      <c r="Y39" s="200"/>
      <c r="Z39" s="203"/>
      <c r="AA39" s="169"/>
      <c r="AB39" s="98"/>
      <c r="AC39" s="210" t="s">
        <v>87</v>
      </c>
      <c r="AD39" s="206"/>
      <c r="AI39" s="219"/>
    </row>
    <row r="40" spans="1:42">
      <c r="C40" s="207"/>
      <c r="D40" s="207"/>
      <c r="E40" s="211"/>
      <c r="F40" s="212"/>
      <c r="G40" s="212"/>
      <c r="H40" s="212"/>
      <c r="I40" s="169"/>
      <c r="J40" s="212"/>
      <c r="K40" s="212"/>
      <c r="L40" s="212"/>
      <c r="M40" s="213"/>
      <c r="N40" s="213"/>
      <c r="O40" s="213"/>
      <c r="R40" s="200"/>
      <c r="S40" s="200"/>
      <c r="T40" s="200"/>
      <c r="U40" s="200"/>
      <c r="V40" s="200"/>
      <c r="W40" s="200"/>
      <c r="X40" s="200"/>
      <c r="Y40" s="200"/>
      <c r="Z40" s="203"/>
      <c r="AA40" s="169"/>
      <c r="AB40" s="98"/>
      <c r="AC40" s="210" t="s">
        <v>87</v>
      </c>
      <c r="AD40" s="206"/>
      <c r="AE40" s="241"/>
    </row>
    <row r="41" spans="1:42">
      <c r="C41" s="207"/>
      <c r="D41" s="207"/>
      <c r="E41" s="211"/>
      <c r="F41" s="212"/>
      <c r="G41" s="212"/>
      <c r="H41" s="212"/>
      <c r="I41" s="169"/>
      <c r="J41" s="212"/>
      <c r="K41" s="212"/>
      <c r="L41" s="212"/>
      <c r="M41" s="213"/>
      <c r="N41" s="213"/>
      <c r="O41" s="213"/>
      <c r="R41" s="169"/>
      <c r="S41" s="169"/>
      <c r="T41" s="169"/>
      <c r="U41" s="169"/>
      <c r="V41" s="169"/>
      <c r="W41" s="169"/>
      <c r="X41" s="169"/>
      <c r="Y41" s="169"/>
      <c r="Z41" s="214"/>
      <c r="AA41" s="169"/>
      <c r="AB41" s="209"/>
      <c r="AC41" s="215" t="s">
        <v>104</v>
      </c>
      <c r="AD41" s="205">
        <f>AD37-SUM(AD38:AD40)</f>
        <v>222384686.64999998</v>
      </c>
    </row>
    <row r="42" spans="1:42">
      <c r="C42" s="207"/>
      <c r="D42" s="207"/>
      <c r="E42" s="211"/>
      <c r="F42" s="212"/>
      <c r="G42" s="212"/>
      <c r="H42" s="212"/>
      <c r="I42" s="169"/>
      <c r="J42" s="212"/>
      <c r="K42" s="212"/>
      <c r="L42" s="212"/>
      <c r="M42" s="213"/>
      <c r="AC42" s="217"/>
    </row>
    <row r="43" spans="1:42">
      <c r="C43" s="207"/>
      <c r="D43" s="207"/>
      <c r="E43" s="211"/>
      <c r="F43" s="212"/>
      <c r="G43" s="212"/>
      <c r="H43" s="212"/>
      <c r="I43" s="169"/>
      <c r="J43" s="212"/>
      <c r="K43" s="212"/>
      <c r="L43" s="212"/>
      <c r="M43" s="213"/>
    </row>
    <row r="44" spans="1:42">
      <c r="C44" s="207"/>
      <c r="D44" s="207"/>
      <c r="E44" s="207"/>
      <c r="F44" s="207"/>
      <c r="G44" s="169"/>
      <c r="H44" s="169"/>
      <c r="I44" s="169"/>
      <c r="J44" s="212"/>
      <c r="K44" s="212"/>
      <c r="L44" s="212"/>
      <c r="M44" s="213"/>
      <c r="AD44" s="301"/>
    </row>
    <row r="45" spans="1:42">
      <c r="C45" s="207"/>
      <c r="D45" s="207"/>
      <c r="E45" s="207"/>
      <c r="F45" s="207"/>
      <c r="G45" s="169"/>
      <c r="H45" s="169"/>
      <c r="I45" s="169"/>
      <c r="J45" s="169"/>
      <c r="K45" s="218"/>
      <c r="L45" s="218"/>
      <c r="M45" s="208"/>
    </row>
    <row r="46" spans="1:42">
      <c r="C46" s="207"/>
      <c r="D46" s="207"/>
      <c r="E46" s="207"/>
      <c r="F46" s="207"/>
      <c r="G46" s="169"/>
      <c r="H46" s="169"/>
      <c r="I46" s="169"/>
      <c r="J46" s="169"/>
      <c r="K46" s="218"/>
      <c r="L46" s="218"/>
      <c r="M46" s="208"/>
    </row>
    <row r="47" spans="1:42">
      <c r="C47" s="207"/>
      <c r="D47" s="207"/>
      <c r="E47" s="207"/>
      <c r="F47" s="207"/>
      <c r="G47" s="169"/>
      <c r="H47" s="169"/>
      <c r="I47" s="169"/>
      <c r="J47" s="169"/>
      <c r="K47" s="218"/>
      <c r="L47" s="218"/>
      <c r="M47" s="208"/>
    </row>
    <row r="48" spans="1:42">
      <c r="C48" s="207"/>
      <c r="D48" s="207"/>
      <c r="E48" s="207"/>
      <c r="F48" s="207"/>
      <c r="G48" s="169"/>
      <c r="H48" s="169"/>
      <c r="I48" s="169"/>
      <c r="J48" s="169"/>
      <c r="K48" s="218"/>
      <c r="L48" s="218"/>
      <c r="M48" s="208"/>
    </row>
    <row r="49" spans="1:46">
      <c r="C49" s="207"/>
      <c r="D49" s="207"/>
      <c r="E49" s="207"/>
      <c r="F49" s="207"/>
      <c r="G49" s="169"/>
      <c r="H49" s="169"/>
      <c r="I49" s="169"/>
      <c r="J49" s="169"/>
      <c r="K49" s="218"/>
      <c r="L49" s="218"/>
      <c r="M49" s="208"/>
    </row>
    <row r="50" spans="1:46">
      <c r="C50" s="207"/>
      <c r="D50" s="207"/>
      <c r="E50" s="207"/>
      <c r="F50" s="207"/>
      <c r="G50" s="169"/>
      <c r="H50" s="169"/>
      <c r="I50" s="169"/>
      <c r="J50" s="169"/>
      <c r="K50" s="218"/>
      <c r="L50" s="218"/>
      <c r="M50" s="208"/>
    </row>
    <row r="51" spans="1:46">
      <c r="C51" s="207"/>
      <c r="D51" s="207"/>
      <c r="E51" s="207"/>
      <c r="F51" s="207"/>
      <c r="G51" s="169"/>
      <c r="H51" s="169"/>
      <c r="I51" s="169"/>
      <c r="J51" s="169"/>
      <c r="K51" s="218"/>
      <c r="L51" s="218"/>
      <c r="M51" s="208"/>
    </row>
    <row r="52" spans="1:46" s="202" customFormat="1">
      <c r="A52" s="132"/>
      <c r="B52" s="176"/>
      <c r="C52" s="207"/>
      <c r="D52" s="207"/>
      <c r="E52" s="207"/>
      <c r="F52" s="207"/>
      <c r="G52" s="169"/>
      <c r="H52" s="169"/>
      <c r="I52" s="169"/>
      <c r="J52" s="169"/>
      <c r="K52" s="218"/>
      <c r="L52" s="218"/>
      <c r="M52" s="208"/>
      <c r="P52" s="132"/>
      <c r="Q52" s="188"/>
      <c r="R52" s="132"/>
      <c r="S52" s="132"/>
      <c r="T52" s="132"/>
      <c r="U52" s="132"/>
      <c r="V52" s="132"/>
      <c r="W52" s="132"/>
      <c r="X52" s="132"/>
      <c r="Y52" s="132"/>
      <c r="Z52" s="216"/>
      <c r="AA52" s="132"/>
      <c r="AD52" s="132"/>
      <c r="AE52" s="132"/>
      <c r="AF52" s="132"/>
      <c r="AG52" s="132"/>
      <c r="AH52" s="132"/>
      <c r="AI52" s="134"/>
      <c r="AJ52" s="133"/>
      <c r="AK52" s="133"/>
      <c r="AL52" s="134"/>
      <c r="AM52" s="134"/>
      <c r="AN52" s="134"/>
      <c r="AO52" s="134"/>
      <c r="AP52" s="134"/>
      <c r="AQ52" s="132"/>
      <c r="AR52" s="132"/>
      <c r="AS52" s="132"/>
      <c r="AT52" s="132"/>
    </row>
    <row r="53" spans="1:46" s="202" customFormat="1">
      <c r="A53" s="132"/>
      <c r="B53" s="176"/>
      <c r="C53" s="207"/>
      <c r="D53" s="207"/>
      <c r="E53" s="207"/>
      <c r="F53" s="207"/>
      <c r="G53" s="169"/>
      <c r="H53" s="169"/>
      <c r="I53" s="169"/>
      <c r="J53" s="169"/>
      <c r="K53" s="218"/>
      <c r="L53" s="218"/>
      <c r="M53" s="208"/>
      <c r="P53" s="132"/>
      <c r="Q53" s="188"/>
      <c r="R53" s="132"/>
      <c r="S53" s="132"/>
      <c r="T53" s="132"/>
      <c r="U53" s="132"/>
      <c r="V53" s="132"/>
      <c r="W53" s="132"/>
      <c r="X53" s="132"/>
      <c r="Y53" s="132"/>
      <c r="Z53" s="216"/>
      <c r="AA53" s="132"/>
      <c r="AD53" s="132"/>
      <c r="AE53" s="132"/>
      <c r="AF53" s="132"/>
      <c r="AG53" s="132"/>
      <c r="AH53" s="132"/>
      <c r="AI53" s="134"/>
      <c r="AJ53" s="133"/>
      <c r="AK53" s="133"/>
      <c r="AL53" s="134"/>
      <c r="AM53" s="134"/>
      <c r="AN53" s="134"/>
      <c r="AO53" s="134"/>
      <c r="AP53" s="134"/>
      <c r="AQ53" s="132"/>
      <c r="AR53" s="132"/>
      <c r="AS53" s="132"/>
      <c r="AT53" s="132"/>
    </row>
    <row r="54" spans="1:46" s="202" customFormat="1">
      <c r="A54" s="132"/>
      <c r="B54" s="176"/>
      <c r="C54" s="207"/>
      <c r="D54" s="207"/>
      <c r="E54" s="207"/>
      <c r="F54" s="207"/>
      <c r="G54" s="169"/>
      <c r="H54" s="169"/>
      <c r="I54" s="169"/>
      <c r="J54" s="169"/>
      <c r="K54" s="218"/>
      <c r="L54" s="218"/>
      <c r="M54" s="208"/>
      <c r="P54" s="132"/>
      <c r="Q54" s="188"/>
      <c r="R54" s="132"/>
      <c r="S54" s="132"/>
      <c r="T54" s="132"/>
      <c r="U54" s="132"/>
      <c r="V54" s="132"/>
      <c r="W54" s="132"/>
      <c r="X54" s="132"/>
      <c r="Y54" s="132"/>
      <c r="Z54" s="216"/>
      <c r="AA54" s="132"/>
      <c r="AD54" s="132"/>
      <c r="AE54" s="132"/>
      <c r="AF54" s="132"/>
      <c r="AG54" s="132"/>
      <c r="AH54" s="132"/>
      <c r="AI54" s="134"/>
      <c r="AJ54" s="133"/>
      <c r="AK54" s="133"/>
      <c r="AL54" s="134"/>
      <c r="AM54" s="134"/>
      <c r="AN54" s="134"/>
      <c r="AO54" s="134"/>
      <c r="AP54" s="134"/>
      <c r="AQ54" s="132"/>
      <c r="AR54" s="132"/>
      <c r="AS54" s="132"/>
      <c r="AT54" s="132"/>
    </row>
    <row r="55" spans="1:46" s="202" customFormat="1">
      <c r="A55" s="132"/>
      <c r="B55" s="176"/>
      <c r="C55" s="207"/>
      <c r="D55" s="207"/>
      <c r="E55" s="207"/>
      <c r="F55" s="207"/>
      <c r="G55" s="169"/>
      <c r="H55" s="169"/>
      <c r="I55" s="169"/>
      <c r="J55" s="169"/>
      <c r="K55" s="218"/>
      <c r="L55" s="218"/>
      <c r="M55" s="208"/>
      <c r="P55" s="132"/>
      <c r="Q55" s="188"/>
      <c r="R55" s="132"/>
      <c r="S55" s="132"/>
      <c r="T55" s="132"/>
      <c r="U55" s="132"/>
      <c r="V55" s="132"/>
      <c r="W55" s="132"/>
      <c r="X55" s="132"/>
      <c r="Y55" s="132"/>
      <c r="Z55" s="216"/>
      <c r="AA55" s="132"/>
      <c r="AD55" s="132"/>
      <c r="AE55" s="132"/>
      <c r="AF55" s="132"/>
      <c r="AG55" s="132"/>
      <c r="AH55" s="132"/>
      <c r="AI55" s="134"/>
      <c r="AJ55" s="133"/>
      <c r="AK55" s="133"/>
      <c r="AL55" s="134"/>
      <c r="AM55" s="134"/>
      <c r="AN55" s="134"/>
      <c r="AO55" s="134"/>
      <c r="AP55" s="134"/>
      <c r="AQ55" s="132"/>
      <c r="AR55" s="132"/>
      <c r="AS55" s="132"/>
      <c r="AT55" s="132"/>
    </row>
    <row r="56" spans="1:46" s="202" customFormat="1">
      <c r="A56" s="132"/>
      <c r="B56" s="176"/>
      <c r="C56" s="207"/>
      <c r="D56" s="207"/>
      <c r="E56" s="207"/>
      <c r="F56" s="207"/>
      <c r="G56" s="169"/>
      <c r="H56" s="169"/>
      <c r="I56" s="169"/>
      <c r="J56" s="169"/>
      <c r="K56" s="218"/>
      <c r="L56" s="218"/>
      <c r="M56" s="208"/>
      <c r="P56" s="132"/>
      <c r="Q56" s="188"/>
      <c r="R56" s="132"/>
      <c r="S56" s="132"/>
      <c r="T56" s="132"/>
      <c r="U56" s="132"/>
      <c r="V56" s="132"/>
      <c r="W56" s="132"/>
      <c r="X56" s="132"/>
      <c r="Y56" s="132"/>
      <c r="Z56" s="216"/>
      <c r="AA56" s="132"/>
      <c r="AD56" s="132"/>
      <c r="AE56" s="132"/>
      <c r="AF56" s="132"/>
      <c r="AG56" s="132"/>
      <c r="AH56" s="132"/>
      <c r="AI56" s="134"/>
      <c r="AJ56" s="133"/>
      <c r="AK56" s="133"/>
      <c r="AL56" s="134"/>
      <c r="AM56" s="134"/>
      <c r="AN56" s="134"/>
      <c r="AO56" s="134"/>
      <c r="AP56" s="134"/>
      <c r="AQ56" s="132"/>
      <c r="AR56" s="132"/>
      <c r="AS56" s="132"/>
      <c r="AT56" s="132"/>
    </row>
    <row r="57" spans="1:46" s="202" customFormat="1">
      <c r="A57" s="132"/>
      <c r="B57" s="176"/>
      <c r="C57" s="207"/>
      <c r="D57" s="207"/>
      <c r="E57" s="207"/>
      <c r="F57" s="207"/>
      <c r="G57" s="169"/>
      <c r="H57" s="169"/>
      <c r="I57" s="169"/>
      <c r="J57" s="169"/>
      <c r="K57" s="218"/>
      <c r="L57" s="218"/>
      <c r="M57" s="208"/>
      <c r="P57" s="132"/>
      <c r="Q57" s="188"/>
      <c r="R57" s="132"/>
      <c r="S57" s="132"/>
      <c r="T57" s="132"/>
      <c r="U57" s="132"/>
      <c r="V57" s="132"/>
      <c r="W57" s="132"/>
      <c r="X57" s="132"/>
      <c r="Y57" s="132"/>
      <c r="Z57" s="216"/>
      <c r="AA57" s="132"/>
      <c r="AD57" s="132"/>
      <c r="AE57" s="132"/>
      <c r="AF57" s="132"/>
      <c r="AG57" s="132"/>
      <c r="AH57" s="132"/>
      <c r="AI57" s="134"/>
      <c r="AJ57" s="133"/>
      <c r="AK57" s="133"/>
      <c r="AL57" s="134"/>
      <c r="AM57" s="134"/>
      <c r="AN57" s="134"/>
      <c r="AO57" s="134"/>
      <c r="AP57" s="134"/>
      <c r="AQ57" s="132"/>
      <c r="AR57" s="132"/>
      <c r="AS57" s="132"/>
      <c r="AT57" s="132"/>
    </row>
    <row r="58" spans="1:46" s="202" customFormat="1">
      <c r="A58" s="132"/>
      <c r="B58" s="176"/>
      <c r="C58" s="207"/>
      <c r="D58" s="207"/>
      <c r="E58" s="207"/>
      <c r="F58" s="207"/>
      <c r="G58" s="169"/>
      <c r="H58" s="169"/>
      <c r="I58" s="169"/>
      <c r="J58" s="169"/>
      <c r="K58" s="218"/>
      <c r="L58" s="218"/>
      <c r="M58" s="208"/>
      <c r="P58" s="132"/>
      <c r="Q58" s="188"/>
      <c r="R58" s="132"/>
      <c r="S58" s="132"/>
      <c r="T58" s="132"/>
      <c r="U58" s="132"/>
      <c r="V58" s="132"/>
      <c r="W58" s="132"/>
      <c r="X58" s="132"/>
      <c r="Y58" s="132"/>
      <c r="Z58" s="216"/>
      <c r="AA58" s="132"/>
      <c r="AD58" s="132"/>
      <c r="AE58" s="132"/>
      <c r="AF58" s="132"/>
      <c r="AG58" s="132"/>
      <c r="AH58" s="132"/>
      <c r="AI58" s="134"/>
      <c r="AJ58" s="133"/>
      <c r="AK58" s="133"/>
      <c r="AL58" s="134"/>
      <c r="AM58" s="134"/>
      <c r="AN58" s="134"/>
      <c r="AO58" s="134"/>
      <c r="AP58" s="134"/>
      <c r="AQ58" s="132"/>
      <c r="AR58" s="132"/>
      <c r="AS58" s="132"/>
      <c r="AT58" s="132"/>
    </row>
    <row r="59" spans="1:46" s="202" customFormat="1">
      <c r="A59" s="132"/>
      <c r="B59" s="176"/>
      <c r="C59" s="207"/>
      <c r="D59" s="207"/>
      <c r="E59" s="207"/>
      <c r="F59" s="207"/>
      <c r="G59" s="169"/>
      <c r="H59" s="169"/>
      <c r="I59" s="169"/>
      <c r="J59" s="169"/>
      <c r="K59" s="218"/>
      <c r="L59" s="218"/>
      <c r="M59" s="208"/>
      <c r="P59" s="132"/>
      <c r="Q59" s="188"/>
      <c r="R59" s="132"/>
      <c r="S59" s="132"/>
      <c r="T59" s="132"/>
      <c r="U59" s="132"/>
      <c r="V59" s="132"/>
      <c r="W59" s="132"/>
      <c r="X59" s="132"/>
      <c r="Y59" s="132"/>
      <c r="Z59" s="216"/>
      <c r="AA59" s="132"/>
      <c r="AD59" s="132"/>
      <c r="AE59" s="132"/>
      <c r="AF59" s="132"/>
      <c r="AG59" s="132"/>
      <c r="AH59" s="132"/>
      <c r="AI59" s="134"/>
      <c r="AJ59" s="133"/>
      <c r="AK59" s="133"/>
      <c r="AL59" s="134"/>
      <c r="AM59" s="134"/>
      <c r="AN59" s="134"/>
      <c r="AO59" s="134"/>
      <c r="AP59" s="134"/>
      <c r="AQ59" s="132"/>
      <c r="AR59" s="132"/>
      <c r="AS59" s="132"/>
      <c r="AT59" s="132"/>
    </row>
    <row r="60" spans="1:46" s="202" customFormat="1">
      <c r="A60" s="132"/>
      <c r="B60" s="176"/>
      <c r="C60" s="207"/>
      <c r="D60" s="207"/>
      <c r="E60" s="207"/>
      <c r="F60" s="207"/>
      <c r="G60" s="169"/>
      <c r="H60" s="169"/>
      <c r="I60" s="169"/>
      <c r="J60" s="169"/>
      <c r="K60" s="218"/>
      <c r="L60" s="218"/>
      <c r="M60" s="208"/>
      <c r="P60" s="132"/>
      <c r="Q60" s="188"/>
      <c r="R60" s="132"/>
      <c r="S60" s="132"/>
      <c r="T60" s="132"/>
      <c r="U60" s="132"/>
      <c r="V60" s="132"/>
      <c r="W60" s="132"/>
      <c r="X60" s="132"/>
      <c r="Y60" s="132"/>
      <c r="Z60" s="216"/>
      <c r="AA60" s="132"/>
      <c r="AD60" s="132"/>
      <c r="AE60" s="132"/>
      <c r="AF60" s="132"/>
      <c r="AG60" s="132"/>
      <c r="AH60" s="132"/>
      <c r="AI60" s="134"/>
      <c r="AJ60" s="133"/>
      <c r="AK60" s="133"/>
      <c r="AL60" s="134"/>
      <c r="AM60" s="134"/>
      <c r="AN60" s="134"/>
      <c r="AO60" s="134"/>
      <c r="AP60" s="134"/>
      <c r="AQ60" s="132"/>
      <c r="AR60" s="132"/>
      <c r="AS60" s="132"/>
      <c r="AT60" s="132"/>
    </row>
    <row r="61" spans="1:46" s="202" customFormat="1">
      <c r="A61" s="132"/>
      <c r="B61" s="176"/>
      <c r="C61" s="207"/>
      <c r="D61" s="207"/>
      <c r="E61" s="207"/>
      <c r="F61" s="207"/>
      <c r="G61" s="169"/>
      <c r="H61" s="169"/>
      <c r="I61" s="169"/>
      <c r="J61" s="169"/>
      <c r="K61" s="218"/>
      <c r="L61" s="218"/>
      <c r="M61" s="208"/>
      <c r="P61" s="132"/>
      <c r="Q61" s="188"/>
      <c r="R61" s="132"/>
      <c r="S61" s="132"/>
      <c r="T61" s="132"/>
      <c r="U61" s="132"/>
      <c r="V61" s="132"/>
      <c r="W61" s="132"/>
      <c r="X61" s="132"/>
      <c r="Y61" s="132"/>
      <c r="Z61" s="216"/>
      <c r="AA61" s="132"/>
      <c r="AD61" s="132"/>
      <c r="AE61" s="132"/>
      <c r="AF61" s="132"/>
      <c r="AG61" s="132"/>
      <c r="AH61" s="132"/>
      <c r="AI61" s="134"/>
      <c r="AJ61" s="133"/>
      <c r="AK61" s="133"/>
      <c r="AL61" s="134"/>
      <c r="AM61" s="134"/>
      <c r="AN61" s="134"/>
      <c r="AO61" s="134"/>
      <c r="AP61" s="134"/>
      <c r="AQ61" s="132"/>
      <c r="AR61" s="132"/>
      <c r="AS61" s="132"/>
      <c r="AT61" s="132"/>
    </row>
    <row r="62" spans="1:46" s="202" customFormat="1">
      <c r="A62" s="132"/>
      <c r="B62" s="176"/>
      <c r="C62" s="207"/>
      <c r="D62" s="207"/>
      <c r="E62" s="207"/>
      <c r="F62" s="207"/>
      <c r="G62" s="169"/>
      <c r="H62" s="169"/>
      <c r="I62" s="169"/>
      <c r="J62" s="169"/>
      <c r="K62" s="218"/>
      <c r="L62" s="218"/>
      <c r="M62" s="208"/>
      <c r="P62" s="132"/>
      <c r="Q62" s="188"/>
      <c r="R62" s="132"/>
      <c r="S62" s="132"/>
      <c r="T62" s="132"/>
      <c r="U62" s="132"/>
      <c r="V62" s="132"/>
      <c r="W62" s="132"/>
      <c r="X62" s="132"/>
      <c r="Y62" s="132"/>
      <c r="Z62" s="216"/>
      <c r="AA62" s="132"/>
      <c r="AD62" s="132"/>
      <c r="AE62" s="132"/>
      <c r="AF62" s="132"/>
      <c r="AG62" s="132"/>
      <c r="AH62" s="132"/>
      <c r="AI62" s="134"/>
      <c r="AJ62" s="133"/>
      <c r="AK62" s="133"/>
      <c r="AL62" s="134"/>
      <c r="AM62" s="134"/>
      <c r="AN62" s="134"/>
      <c r="AO62" s="134"/>
      <c r="AP62" s="134"/>
      <c r="AQ62" s="132"/>
      <c r="AR62" s="132"/>
      <c r="AS62" s="132"/>
      <c r="AT62" s="132"/>
    </row>
    <row r="63" spans="1:46" s="202" customFormat="1">
      <c r="A63" s="132"/>
      <c r="B63" s="176"/>
      <c r="C63" s="207"/>
      <c r="D63" s="207"/>
      <c r="E63" s="207"/>
      <c r="F63" s="207"/>
      <c r="G63" s="169"/>
      <c r="H63" s="169"/>
      <c r="I63" s="169"/>
      <c r="J63" s="169"/>
      <c r="K63" s="218"/>
      <c r="L63" s="218"/>
      <c r="M63" s="208"/>
      <c r="P63" s="132"/>
      <c r="Q63" s="188"/>
      <c r="R63" s="132"/>
      <c r="S63" s="132"/>
      <c r="T63" s="132"/>
      <c r="U63" s="132"/>
      <c r="V63" s="132"/>
      <c r="W63" s="132"/>
      <c r="X63" s="132"/>
      <c r="Y63" s="132"/>
      <c r="Z63" s="216"/>
      <c r="AA63" s="132"/>
      <c r="AD63" s="132"/>
      <c r="AE63" s="132"/>
      <c r="AF63" s="132"/>
      <c r="AG63" s="132"/>
      <c r="AH63" s="132"/>
      <c r="AI63" s="134"/>
      <c r="AJ63" s="133"/>
      <c r="AK63" s="133"/>
      <c r="AL63" s="134"/>
      <c r="AM63" s="134"/>
      <c r="AN63" s="134"/>
      <c r="AO63" s="134"/>
      <c r="AP63" s="134"/>
      <c r="AQ63" s="132"/>
      <c r="AR63" s="132"/>
      <c r="AS63" s="132"/>
      <c r="AT63" s="132"/>
    </row>
    <row r="64" spans="1:46" s="202" customFormat="1">
      <c r="A64" s="132"/>
      <c r="B64" s="176"/>
      <c r="C64" s="207"/>
      <c r="D64" s="207"/>
      <c r="E64" s="207"/>
      <c r="F64" s="207"/>
      <c r="G64" s="169"/>
      <c r="H64" s="169"/>
      <c r="I64" s="169"/>
      <c r="J64" s="169"/>
      <c r="K64" s="218"/>
      <c r="L64" s="218"/>
      <c r="M64" s="208"/>
      <c r="P64" s="132"/>
      <c r="Q64" s="188"/>
      <c r="R64" s="132"/>
      <c r="S64" s="132"/>
      <c r="T64" s="132"/>
      <c r="U64" s="132"/>
      <c r="V64" s="132"/>
      <c r="W64" s="132"/>
      <c r="X64" s="132"/>
      <c r="Y64" s="132"/>
      <c r="Z64" s="216"/>
      <c r="AA64" s="132"/>
      <c r="AD64" s="132"/>
      <c r="AE64" s="132"/>
      <c r="AF64" s="132"/>
      <c r="AG64" s="132"/>
      <c r="AH64" s="132"/>
      <c r="AI64" s="134"/>
      <c r="AJ64" s="133"/>
      <c r="AK64" s="133"/>
      <c r="AL64" s="134"/>
      <c r="AM64" s="134"/>
      <c r="AN64" s="134"/>
      <c r="AO64" s="134"/>
      <c r="AP64" s="134"/>
      <c r="AQ64" s="132"/>
      <c r="AR64" s="132"/>
      <c r="AS64" s="132"/>
      <c r="AT64" s="132"/>
    </row>
    <row r="65" spans="1:46" s="202" customFormat="1">
      <c r="A65" s="132"/>
      <c r="B65" s="176"/>
      <c r="C65" s="207"/>
      <c r="D65" s="207"/>
      <c r="E65" s="207"/>
      <c r="F65" s="207"/>
      <c r="G65" s="169"/>
      <c r="H65" s="169"/>
      <c r="I65" s="169"/>
      <c r="J65" s="169"/>
      <c r="K65" s="218"/>
      <c r="L65" s="218"/>
      <c r="M65" s="208"/>
      <c r="P65" s="132"/>
      <c r="Q65" s="188"/>
      <c r="R65" s="132"/>
      <c r="S65" s="132"/>
      <c r="T65" s="132"/>
      <c r="U65" s="132"/>
      <c r="V65" s="132"/>
      <c r="W65" s="132"/>
      <c r="X65" s="132"/>
      <c r="Y65" s="132"/>
      <c r="Z65" s="216"/>
      <c r="AA65" s="132"/>
      <c r="AD65" s="132"/>
      <c r="AE65" s="132"/>
      <c r="AF65" s="132"/>
      <c r="AG65" s="132"/>
      <c r="AH65" s="132"/>
      <c r="AI65" s="134"/>
      <c r="AJ65" s="133"/>
      <c r="AK65" s="133"/>
      <c r="AL65" s="134"/>
      <c r="AM65" s="134"/>
      <c r="AN65" s="134"/>
      <c r="AO65" s="134"/>
      <c r="AP65" s="134"/>
      <c r="AQ65" s="132"/>
      <c r="AR65" s="132"/>
      <c r="AS65" s="132"/>
      <c r="AT65" s="132"/>
    </row>
    <row r="66" spans="1:46" s="202" customFormat="1">
      <c r="A66" s="132"/>
      <c r="B66" s="176"/>
      <c r="C66" s="207"/>
      <c r="D66" s="207"/>
      <c r="E66" s="207"/>
      <c r="F66" s="207"/>
      <c r="G66" s="169"/>
      <c r="H66" s="169"/>
      <c r="I66" s="169"/>
      <c r="J66" s="169"/>
      <c r="K66" s="218"/>
      <c r="L66" s="218"/>
      <c r="M66" s="208"/>
      <c r="P66" s="132"/>
      <c r="Q66" s="188"/>
      <c r="R66" s="132"/>
      <c r="S66" s="132"/>
      <c r="T66" s="132"/>
      <c r="U66" s="132"/>
      <c r="V66" s="132"/>
      <c r="W66" s="132"/>
      <c r="X66" s="132"/>
      <c r="Y66" s="132"/>
      <c r="Z66" s="216"/>
      <c r="AA66" s="132"/>
      <c r="AD66" s="132"/>
      <c r="AE66" s="132"/>
      <c r="AF66" s="132"/>
      <c r="AG66" s="132"/>
      <c r="AH66" s="132"/>
      <c r="AI66" s="134"/>
      <c r="AJ66" s="133"/>
      <c r="AK66" s="133"/>
      <c r="AL66" s="134"/>
      <c r="AM66" s="134"/>
      <c r="AN66" s="134"/>
      <c r="AO66" s="134"/>
      <c r="AP66" s="134"/>
      <c r="AQ66" s="132"/>
      <c r="AR66" s="132"/>
      <c r="AS66" s="132"/>
      <c r="AT66" s="132"/>
    </row>
    <row r="67" spans="1:46" s="202" customFormat="1">
      <c r="A67" s="132"/>
      <c r="B67" s="176"/>
      <c r="C67" s="207"/>
      <c r="D67" s="207"/>
      <c r="E67" s="207"/>
      <c r="F67" s="207"/>
      <c r="G67" s="169"/>
      <c r="H67" s="169"/>
      <c r="I67" s="169"/>
      <c r="J67" s="169"/>
      <c r="K67" s="218"/>
      <c r="L67" s="218"/>
      <c r="M67" s="208"/>
      <c r="P67" s="132"/>
      <c r="Q67" s="188"/>
      <c r="R67" s="132"/>
      <c r="S67" s="132"/>
      <c r="T67" s="132"/>
      <c r="U67" s="132"/>
      <c r="V67" s="132"/>
      <c r="W67" s="132"/>
      <c r="X67" s="132"/>
      <c r="Y67" s="132"/>
      <c r="Z67" s="216"/>
      <c r="AA67" s="132"/>
      <c r="AD67" s="132"/>
      <c r="AE67" s="132"/>
      <c r="AF67" s="132"/>
      <c r="AG67" s="132"/>
      <c r="AH67" s="132"/>
      <c r="AI67" s="134"/>
      <c r="AJ67" s="133"/>
      <c r="AK67" s="133"/>
      <c r="AL67" s="134"/>
      <c r="AM67" s="134"/>
      <c r="AN67" s="134"/>
      <c r="AO67" s="134"/>
      <c r="AP67" s="134"/>
      <c r="AQ67" s="132"/>
      <c r="AR67" s="132"/>
      <c r="AS67" s="132"/>
      <c r="AT67" s="132"/>
    </row>
    <row r="68" spans="1:46" s="202" customFormat="1">
      <c r="A68" s="132"/>
      <c r="B68" s="176"/>
      <c r="C68" s="207"/>
      <c r="D68" s="207"/>
      <c r="E68" s="207"/>
      <c r="F68" s="207"/>
      <c r="G68" s="169"/>
      <c r="H68" s="169"/>
      <c r="I68" s="169"/>
      <c r="J68" s="169"/>
      <c r="K68" s="218"/>
      <c r="L68" s="218"/>
      <c r="M68" s="208"/>
      <c r="P68" s="132"/>
      <c r="Q68" s="188"/>
      <c r="R68" s="132"/>
      <c r="S68" s="132"/>
      <c r="T68" s="132"/>
      <c r="U68" s="132"/>
      <c r="V68" s="132"/>
      <c r="W68" s="132"/>
      <c r="X68" s="132"/>
      <c r="Y68" s="132"/>
      <c r="Z68" s="216"/>
      <c r="AA68" s="132"/>
      <c r="AD68" s="132"/>
      <c r="AE68" s="132"/>
      <c r="AF68" s="132"/>
      <c r="AG68" s="132"/>
      <c r="AH68" s="132"/>
      <c r="AI68" s="134"/>
      <c r="AJ68" s="133"/>
      <c r="AK68" s="133"/>
      <c r="AL68" s="134"/>
      <c r="AM68" s="134"/>
      <c r="AN68" s="134"/>
      <c r="AO68" s="134"/>
      <c r="AP68" s="134"/>
      <c r="AQ68" s="132"/>
      <c r="AR68" s="132"/>
      <c r="AS68" s="132"/>
      <c r="AT68" s="132"/>
    </row>
    <row r="69" spans="1:46" s="202" customFormat="1">
      <c r="A69" s="132"/>
      <c r="B69" s="176"/>
      <c r="C69" s="207"/>
      <c r="D69" s="207"/>
      <c r="E69" s="207"/>
      <c r="F69" s="207"/>
      <c r="G69" s="169"/>
      <c r="H69" s="169"/>
      <c r="I69" s="169"/>
      <c r="J69" s="169"/>
      <c r="K69" s="218"/>
      <c r="L69" s="218"/>
      <c r="M69" s="208"/>
      <c r="P69" s="132"/>
      <c r="Q69" s="188"/>
      <c r="R69" s="132"/>
      <c r="S69" s="132"/>
      <c r="T69" s="132"/>
      <c r="U69" s="132"/>
      <c r="V69" s="132"/>
      <c r="W69" s="132"/>
      <c r="X69" s="132"/>
      <c r="Y69" s="132"/>
      <c r="Z69" s="216"/>
      <c r="AA69" s="132"/>
      <c r="AD69" s="132"/>
      <c r="AE69" s="132"/>
      <c r="AF69" s="132"/>
      <c r="AG69" s="132"/>
      <c r="AH69" s="132"/>
      <c r="AI69" s="134"/>
      <c r="AJ69" s="133"/>
      <c r="AK69" s="133"/>
      <c r="AL69" s="134"/>
      <c r="AM69" s="134"/>
      <c r="AN69" s="134"/>
      <c r="AO69" s="134"/>
      <c r="AP69" s="134"/>
      <c r="AQ69" s="132"/>
      <c r="AR69" s="132"/>
      <c r="AS69" s="132"/>
      <c r="AT69" s="132"/>
    </row>
    <row r="70" spans="1:46" s="202" customFormat="1">
      <c r="A70" s="132"/>
      <c r="B70" s="176"/>
      <c r="C70" s="207"/>
      <c r="D70" s="207"/>
      <c r="E70" s="207"/>
      <c r="F70" s="207"/>
      <c r="G70" s="169"/>
      <c r="H70" s="169"/>
      <c r="I70" s="169"/>
      <c r="J70" s="169"/>
      <c r="K70" s="218"/>
      <c r="L70" s="218"/>
      <c r="M70" s="208"/>
      <c r="P70" s="132"/>
      <c r="Q70" s="188"/>
      <c r="R70" s="132"/>
      <c r="S70" s="132"/>
      <c r="T70" s="132"/>
      <c r="U70" s="132"/>
      <c r="V70" s="132"/>
      <c r="W70" s="132"/>
      <c r="X70" s="132"/>
      <c r="Y70" s="132"/>
      <c r="Z70" s="216"/>
      <c r="AA70" s="132"/>
      <c r="AD70" s="132"/>
      <c r="AE70" s="132"/>
      <c r="AF70" s="132"/>
      <c r="AG70" s="132"/>
      <c r="AH70" s="132"/>
      <c r="AI70" s="134"/>
      <c r="AJ70" s="133"/>
      <c r="AK70" s="133"/>
      <c r="AL70" s="134"/>
      <c r="AM70" s="134"/>
      <c r="AN70" s="134"/>
      <c r="AO70" s="134"/>
      <c r="AP70" s="134"/>
      <c r="AQ70" s="132"/>
      <c r="AR70" s="132"/>
      <c r="AS70" s="132"/>
      <c r="AT70" s="132"/>
    </row>
    <row r="71" spans="1:46" s="202" customFormat="1">
      <c r="A71" s="132"/>
      <c r="B71" s="176"/>
      <c r="C71" s="207"/>
      <c r="D71" s="207"/>
      <c r="E71" s="207"/>
      <c r="F71" s="207"/>
      <c r="G71" s="169"/>
      <c r="H71" s="169"/>
      <c r="I71" s="169"/>
      <c r="J71" s="169"/>
      <c r="K71" s="218"/>
      <c r="L71" s="218"/>
      <c r="M71" s="208"/>
      <c r="P71" s="132"/>
      <c r="Q71" s="188"/>
      <c r="R71" s="132"/>
      <c r="S71" s="132"/>
      <c r="T71" s="132"/>
      <c r="U71" s="132"/>
      <c r="V71" s="132"/>
      <c r="W71" s="132"/>
      <c r="X71" s="132"/>
      <c r="Y71" s="132"/>
      <c r="Z71" s="216"/>
      <c r="AA71" s="132"/>
      <c r="AD71" s="132"/>
      <c r="AE71" s="132"/>
      <c r="AF71" s="132"/>
      <c r="AG71" s="132"/>
      <c r="AH71" s="132"/>
      <c r="AI71" s="134"/>
      <c r="AJ71" s="133"/>
      <c r="AK71" s="133"/>
      <c r="AL71" s="134"/>
      <c r="AM71" s="134"/>
      <c r="AN71" s="134"/>
      <c r="AO71" s="134"/>
      <c r="AP71" s="134"/>
      <c r="AQ71" s="132"/>
      <c r="AR71" s="132"/>
      <c r="AS71" s="132"/>
      <c r="AT71" s="132"/>
    </row>
    <row r="72" spans="1:46" s="202" customFormat="1">
      <c r="A72" s="132"/>
      <c r="B72" s="176"/>
      <c r="C72" s="207"/>
      <c r="D72" s="207"/>
      <c r="E72" s="207"/>
      <c r="F72" s="207"/>
      <c r="G72" s="169"/>
      <c r="H72" s="169"/>
      <c r="I72" s="169"/>
      <c r="J72" s="169"/>
      <c r="K72" s="218"/>
      <c r="L72" s="218"/>
      <c r="M72" s="208"/>
      <c r="P72" s="132"/>
      <c r="Q72" s="188"/>
      <c r="R72" s="132"/>
      <c r="S72" s="132"/>
      <c r="T72" s="132"/>
      <c r="U72" s="132"/>
      <c r="V72" s="132"/>
      <c r="W72" s="132"/>
      <c r="X72" s="132"/>
      <c r="Y72" s="132"/>
      <c r="Z72" s="216"/>
      <c r="AA72" s="132"/>
      <c r="AD72" s="132"/>
      <c r="AE72" s="132"/>
      <c r="AF72" s="132"/>
      <c r="AG72" s="132"/>
      <c r="AH72" s="132"/>
      <c r="AI72" s="134"/>
      <c r="AJ72" s="133"/>
      <c r="AK72" s="133"/>
      <c r="AL72" s="134"/>
      <c r="AM72" s="134"/>
      <c r="AN72" s="134"/>
      <c r="AO72" s="134"/>
      <c r="AP72" s="134"/>
      <c r="AQ72" s="132"/>
      <c r="AR72" s="132"/>
      <c r="AS72" s="132"/>
      <c r="AT72" s="132"/>
    </row>
    <row r="73" spans="1:46" s="202" customFormat="1">
      <c r="A73" s="132"/>
      <c r="B73" s="176"/>
      <c r="C73" s="207"/>
      <c r="D73" s="207"/>
      <c r="E73" s="207"/>
      <c r="F73" s="207"/>
      <c r="G73" s="169"/>
      <c r="H73" s="169"/>
      <c r="I73" s="169"/>
      <c r="J73" s="169"/>
      <c r="K73" s="218"/>
      <c r="L73" s="218"/>
      <c r="M73" s="208"/>
      <c r="P73" s="132"/>
      <c r="Q73" s="188"/>
      <c r="R73" s="132"/>
      <c r="S73" s="132"/>
      <c r="T73" s="132"/>
      <c r="U73" s="132"/>
      <c r="V73" s="132"/>
      <c r="W73" s="132"/>
      <c r="X73" s="132"/>
      <c r="Y73" s="132"/>
      <c r="Z73" s="216"/>
      <c r="AA73" s="132"/>
      <c r="AD73" s="132"/>
      <c r="AE73" s="132"/>
      <c r="AF73" s="132"/>
      <c r="AG73" s="132"/>
      <c r="AH73" s="132"/>
      <c r="AI73" s="134"/>
      <c r="AJ73" s="133"/>
      <c r="AK73" s="133"/>
      <c r="AL73" s="134"/>
      <c r="AM73" s="134"/>
      <c r="AN73" s="134"/>
      <c r="AO73" s="134"/>
      <c r="AP73" s="134"/>
      <c r="AQ73" s="132"/>
      <c r="AR73" s="132"/>
      <c r="AS73" s="132"/>
      <c r="AT73" s="132"/>
    </row>
    <row r="74" spans="1:46" s="202" customFormat="1">
      <c r="A74" s="132"/>
      <c r="B74" s="176"/>
      <c r="C74" s="207"/>
      <c r="D74" s="207"/>
      <c r="E74" s="207"/>
      <c r="F74" s="207"/>
      <c r="G74" s="169"/>
      <c r="H74" s="169"/>
      <c r="I74" s="169"/>
      <c r="J74" s="169"/>
      <c r="K74" s="218"/>
      <c r="L74" s="218"/>
      <c r="M74" s="208"/>
      <c r="P74" s="132"/>
      <c r="Q74" s="188"/>
      <c r="R74" s="132"/>
      <c r="S74" s="132"/>
      <c r="T74" s="132"/>
      <c r="U74" s="132"/>
      <c r="V74" s="132"/>
      <c r="W74" s="132"/>
      <c r="X74" s="132"/>
      <c r="Y74" s="132"/>
      <c r="Z74" s="216"/>
      <c r="AA74" s="132"/>
      <c r="AD74" s="132"/>
      <c r="AE74" s="132"/>
      <c r="AF74" s="132"/>
      <c r="AG74" s="132"/>
      <c r="AH74" s="132"/>
      <c r="AI74" s="134"/>
      <c r="AJ74" s="133"/>
      <c r="AK74" s="133"/>
      <c r="AL74" s="134"/>
      <c r="AM74" s="134"/>
      <c r="AN74" s="134"/>
      <c r="AO74" s="134"/>
      <c r="AP74" s="134"/>
      <c r="AQ74" s="132"/>
      <c r="AR74" s="132"/>
      <c r="AS74" s="132"/>
      <c r="AT74" s="132"/>
    </row>
    <row r="75" spans="1:46" s="202" customFormat="1">
      <c r="A75" s="132"/>
      <c r="B75" s="176"/>
      <c r="C75" s="207"/>
      <c r="D75" s="207"/>
      <c r="E75" s="207"/>
      <c r="F75" s="207"/>
      <c r="G75" s="169"/>
      <c r="H75" s="169"/>
      <c r="I75" s="169"/>
      <c r="J75" s="169"/>
      <c r="K75" s="218"/>
      <c r="L75" s="218"/>
      <c r="M75" s="208"/>
      <c r="P75" s="132"/>
      <c r="Q75" s="188"/>
      <c r="R75" s="132"/>
      <c r="S75" s="132"/>
      <c r="T75" s="132"/>
      <c r="U75" s="132"/>
      <c r="V75" s="132"/>
      <c r="W75" s="132"/>
      <c r="X75" s="132"/>
      <c r="Y75" s="132"/>
      <c r="Z75" s="216"/>
      <c r="AA75" s="132"/>
      <c r="AD75" s="132"/>
      <c r="AE75" s="132"/>
      <c r="AF75" s="132"/>
      <c r="AG75" s="132"/>
      <c r="AH75" s="132"/>
      <c r="AI75" s="134"/>
      <c r="AJ75" s="133"/>
      <c r="AK75" s="133"/>
      <c r="AL75" s="134"/>
      <c r="AM75" s="134"/>
      <c r="AN75" s="134"/>
      <c r="AO75" s="134"/>
      <c r="AP75" s="134"/>
      <c r="AQ75" s="132"/>
      <c r="AR75" s="132"/>
      <c r="AS75" s="132"/>
      <c r="AT75" s="132"/>
    </row>
    <row r="76" spans="1:46" s="202" customFormat="1">
      <c r="A76" s="132"/>
      <c r="B76" s="176"/>
      <c r="C76" s="207"/>
      <c r="D76" s="207"/>
      <c r="E76" s="207"/>
      <c r="F76" s="207"/>
      <c r="G76" s="169"/>
      <c r="H76" s="169"/>
      <c r="I76" s="169"/>
      <c r="J76" s="169"/>
      <c r="K76" s="218"/>
      <c r="L76" s="218"/>
      <c r="M76" s="208"/>
      <c r="P76" s="132"/>
      <c r="Q76" s="188"/>
      <c r="R76" s="132"/>
      <c r="S76" s="132"/>
      <c r="T76" s="132"/>
      <c r="U76" s="132"/>
      <c r="V76" s="132"/>
      <c r="W76" s="132"/>
      <c r="X76" s="132"/>
      <c r="Y76" s="132"/>
      <c r="Z76" s="216"/>
      <c r="AA76" s="132"/>
      <c r="AD76" s="132"/>
      <c r="AE76" s="132"/>
      <c r="AF76" s="132"/>
      <c r="AG76" s="132"/>
      <c r="AH76" s="132"/>
      <c r="AI76" s="134"/>
      <c r="AJ76" s="133"/>
      <c r="AK76" s="133"/>
      <c r="AL76" s="134"/>
      <c r="AM76" s="134"/>
      <c r="AN76" s="134"/>
      <c r="AO76" s="134"/>
      <c r="AP76" s="134"/>
      <c r="AQ76" s="132"/>
      <c r="AR76" s="132"/>
      <c r="AS76" s="132"/>
      <c r="AT76" s="132"/>
    </row>
  </sheetData>
  <mergeCells count="6">
    <mergeCell ref="AB7:AC7"/>
    <mergeCell ref="H7:J7"/>
    <mergeCell ref="K7:M7"/>
    <mergeCell ref="N7:P7"/>
    <mergeCell ref="R7:T7"/>
    <mergeCell ref="V7:X7"/>
  </mergeCells>
  <pageMargins left="0.2" right="0" top="0.25" bottom="0.25" header="0.3" footer="0.3"/>
  <pageSetup paperSize="9" scale="95" orientation="landscape" verticalDpi="30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1:AT76"/>
  <sheetViews>
    <sheetView showGridLines="0" zoomScaleNormal="100" workbookViewId="0">
      <pane xSplit="7" ySplit="8" topLeftCell="V9" activePane="bottomRight" state="frozen"/>
      <selection pane="topRight" activeCell="G1" sqref="G1"/>
      <selection pane="bottomLeft" activeCell="A9" sqref="A9"/>
      <selection pane="bottomRight" activeCell="A23" sqref="A23:XFD23"/>
    </sheetView>
  </sheetViews>
  <sheetFormatPr defaultColWidth="9.33203125" defaultRowHeight="13.8"/>
  <cols>
    <col min="1" max="1" width="3.6640625" style="132" customWidth="1"/>
    <col min="2" max="2" width="22" style="176" customWidth="1"/>
    <col min="3" max="3" width="5.5546875" style="133" customWidth="1"/>
    <col min="4" max="4" width="6.6640625" style="133" customWidth="1"/>
    <col min="5" max="5" width="8.33203125" style="133" customWidth="1"/>
    <col min="6" max="6" width="10.33203125" style="133" customWidth="1"/>
    <col min="7" max="7" width="12" style="132" bestFit="1" customWidth="1"/>
    <col min="8" max="8" width="5.6640625" style="132" bestFit="1" customWidth="1"/>
    <col min="9" max="9" width="2.6640625" style="132" customWidth="1"/>
    <col min="10" max="10" width="5.5546875" style="132" customWidth="1"/>
    <col min="11" max="12" width="12" style="188" bestFit="1" customWidth="1"/>
    <col min="13" max="13" width="12" style="201" bestFit="1" customWidth="1"/>
    <col min="14" max="14" width="12.109375" style="202" customWidth="1"/>
    <col min="15" max="15" width="11" style="202" bestFit="1" customWidth="1"/>
    <col min="16" max="16" width="10" style="132" bestFit="1" customWidth="1"/>
    <col min="17" max="17" width="12" style="188" customWidth="1"/>
    <col min="18" max="18" width="11" style="132" customWidth="1"/>
    <col min="19" max="19" width="10" style="132" bestFit="1" customWidth="1"/>
    <col min="20" max="20" width="10" style="132" customWidth="1"/>
    <col min="21" max="21" width="11" style="132" customWidth="1"/>
    <col min="22" max="22" width="4.109375" style="132" customWidth="1"/>
    <col min="23" max="23" width="11" style="132" customWidth="1"/>
    <col min="24" max="25" width="12" style="132" customWidth="1"/>
    <col min="26" max="26" width="12.33203125" style="216" customWidth="1"/>
    <col min="27" max="27" width="12.33203125" style="132" customWidth="1"/>
    <col min="28" max="28" width="9.6640625" style="202" customWidth="1"/>
    <col min="29" max="29" width="10.88671875" style="202" customWidth="1"/>
    <col min="30" max="30" width="12" style="132" bestFit="1" customWidth="1"/>
    <col min="31" max="31" width="11" style="132" customWidth="1"/>
    <col min="32" max="32" width="11.6640625" style="132" bestFit="1" customWidth="1"/>
    <col min="33" max="33" width="12.44140625" style="132" bestFit="1" customWidth="1"/>
    <col min="34" max="34" width="12.33203125" style="132" customWidth="1"/>
    <col min="35" max="35" width="7.77734375" style="134" customWidth="1"/>
    <col min="36" max="37" width="7.77734375" style="133" customWidth="1"/>
    <col min="38" max="39" width="7.77734375" style="134" customWidth="1"/>
    <col min="40" max="40" width="13.88671875" style="134" customWidth="1"/>
    <col min="41" max="41" width="22.6640625" style="134" bestFit="1" customWidth="1"/>
    <col min="42" max="42" width="5" style="134" bestFit="1" customWidth="1"/>
    <col min="43" max="16384" width="9.33203125" style="132"/>
  </cols>
  <sheetData>
    <row r="1" spans="1:46" s="2" customFormat="1" ht="18" customHeight="1">
      <c r="B1" s="220" t="s">
        <v>180</v>
      </c>
      <c r="C1" s="118"/>
      <c r="D1" s="118" t="s">
        <v>139</v>
      </c>
      <c r="E1" s="1"/>
      <c r="F1" s="1"/>
      <c r="J1" s="5" t="s">
        <v>202</v>
      </c>
      <c r="K1" s="5"/>
      <c r="L1" s="12"/>
      <c r="M1" s="125"/>
      <c r="N1" s="39"/>
      <c r="O1" s="39"/>
      <c r="P1" s="39"/>
      <c r="Q1" s="12"/>
      <c r="U1" s="1"/>
      <c r="AB1" s="49"/>
      <c r="AC1" s="49"/>
      <c r="AI1" s="55"/>
      <c r="AJ1" s="1"/>
      <c r="AK1" s="1"/>
      <c r="AL1" s="55"/>
      <c r="AM1" s="55"/>
      <c r="AN1" s="55"/>
      <c r="AO1" s="55"/>
      <c r="AP1" s="55"/>
    </row>
    <row r="2" spans="1:46" s="2" customFormat="1" ht="14.1" customHeight="1">
      <c r="B2" s="119" t="s">
        <v>363</v>
      </c>
      <c r="C2" s="5"/>
      <c r="D2" s="5" t="s">
        <v>181</v>
      </c>
      <c r="E2" s="1"/>
      <c r="F2" s="44"/>
      <c r="G2" s="40"/>
      <c r="H2" s="40"/>
      <c r="I2" s="1"/>
      <c r="J2" s="5" t="s">
        <v>373</v>
      </c>
      <c r="K2" s="5"/>
      <c r="L2" s="1"/>
      <c r="M2" s="126"/>
      <c r="N2" s="1"/>
      <c r="O2" s="1"/>
      <c r="P2" s="1"/>
      <c r="Q2" s="13"/>
      <c r="U2" s="1"/>
      <c r="AB2" s="49"/>
      <c r="AC2" s="49"/>
      <c r="AI2" s="55"/>
      <c r="AJ2" s="1"/>
      <c r="AK2" s="1"/>
      <c r="AL2" s="55"/>
      <c r="AM2" s="55"/>
      <c r="AN2" s="55"/>
      <c r="AO2" s="55"/>
      <c r="AP2" s="55"/>
    </row>
    <row r="3" spans="1:46" s="2" customFormat="1" ht="14.1" customHeight="1" thickBot="1">
      <c r="A3" s="53"/>
      <c r="B3" s="53"/>
      <c r="C3" s="4"/>
      <c r="D3" s="4" t="s">
        <v>182</v>
      </c>
      <c r="E3" s="4"/>
      <c r="F3" s="45"/>
      <c r="G3" s="41"/>
      <c r="H3" s="41"/>
      <c r="I3" s="4"/>
      <c r="J3" s="4" t="s">
        <v>366</v>
      </c>
      <c r="K3" s="4"/>
      <c r="L3" s="4"/>
      <c r="M3" s="127"/>
      <c r="N3" s="4"/>
      <c r="O3" s="4"/>
      <c r="P3" s="4"/>
      <c r="Q3" s="15"/>
      <c r="R3" s="16"/>
      <c r="S3" s="16"/>
      <c r="T3" s="16"/>
      <c r="U3" s="4"/>
      <c r="V3" s="16"/>
      <c r="W3" s="16"/>
      <c r="X3" s="16"/>
      <c r="Y3" s="16"/>
      <c r="Z3" s="16"/>
      <c r="AA3" s="16"/>
      <c r="AB3" s="41"/>
      <c r="AC3" s="41"/>
      <c r="AD3" s="16"/>
      <c r="AE3" s="16"/>
      <c r="AF3" s="16"/>
      <c r="AG3" s="16"/>
      <c r="AH3" s="16"/>
      <c r="AI3" s="56"/>
      <c r="AJ3" s="4"/>
      <c r="AK3" s="4"/>
      <c r="AL3" s="56"/>
      <c r="AM3" s="56"/>
      <c r="AN3" s="56"/>
      <c r="AO3" s="56"/>
      <c r="AP3" s="56"/>
    </row>
    <row r="4" spans="1:46" s="17" customFormat="1" ht="12" customHeight="1">
      <c r="B4" s="54"/>
      <c r="C4" s="5"/>
      <c r="D4" s="5"/>
      <c r="E4" s="5"/>
      <c r="F4" s="3"/>
      <c r="G4" s="42"/>
      <c r="H4" s="42"/>
      <c r="I4" s="42"/>
      <c r="J4" s="42"/>
      <c r="K4" s="14"/>
      <c r="L4" s="14"/>
      <c r="M4" s="128"/>
      <c r="N4" s="42"/>
      <c r="O4" s="42"/>
      <c r="P4" s="42"/>
      <c r="Q4" s="14"/>
      <c r="AB4" s="42"/>
      <c r="AC4" s="42"/>
      <c r="AI4" s="57"/>
      <c r="AJ4" s="5"/>
      <c r="AK4" s="5"/>
      <c r="AL4" s="57"/>
      <c r="AM4" s="57"/>
      <c r="AN4" s="57"/>
      <c r="AO4" s="57"/>
      <c r="AP4" s="57"/>
    </row>
    <row r="5" spans="1:46" s="18" customFormat="1" ht="21">
      <c r="B5" s="100" t="s">
        <v>382</v>
      </c>
      <c r="C5" s="46"/>
      <c r="D5" s="46"/>
      <c r="E5" s="46"/>
      <c r="F5" s="46"/>
      <c r="G5" s="43"/>
      <c r="H5" s="43"/>
      <c r="I5" s="43"/>
      <c r="J5" s="43"/>
      <c r="K5" s="19"/>
      <c r="L5" s="19"/>
      <c r="M5" s="129"/>
      <c r="N5" s="43"/>
      <c r="O5" s="43"/>
      <c r="P5" s="43"/>
      <c r="Q5" s="19"/>
      <c r="R5" s="19"/>
      <c r="S5" s="19"/>
      <c r="T5" s="20"/>
      <c r="U5" s="19"/>
      <c r="V5" s="19"/>
      <c r="W5" s="19"/>
      <c r="X5" s="19"/>
      <c r="Y5" s="19"/>
      <c r="Z5" s="19"/>
      <c r="AA5" s="19"/>
      <c r="AB5" s="19"/>
      <c r="AC5" s="19"/>
      <c r="AD5" s="240"/>
      <c r="AE5" s="19"/>
      <c r="AF5" s="19"/>
      <c r="AG5" s="19"/>
      <c r="AH5" s="19"/>
      <c r="AI5" s="58"/>
      <c r="AJ5" s="6"/>
      <c r="AK5" s="6"/>
      <c r="AL5" s="11"/>
      <c r="AM5" s="11"/>
      <c r="AN5" s="11"/>
      <c r="AO5" s="11"/>
      <c r="AP5" s="11"/>
    </row>
    <row r="7" spans="1:46" s="135" customFormat="1" ht="12" customHeight="1">
      <c r="A7" s="326" t="s">
        <v>16</v>
      </c>
      <c r="B7" s="326" t="s">
        <v>67</v>
      </c>
      <c r="C7" s="326" t="s">
        <v>145</v>
      </c>
      <c r="D7" s="326" t="s">
        <v>101</v>
      </c>
      <c r="E7" s="326" t="s">
        <v>147</v>
      </c>
      <c r="F7" s="326" t="s">
        <v>72</v>
      </c>
      <c r="G7" s="326" t="s">
        <v>23</v>
      </c>
      <c r="H7" s="357" t="s">
        <v>103</v>
      </c>
      <c r="I7" s="357"/>
      <c r="J7" s="357"/>
      <c r="K7" s="358" t="s">
        <v>74</v>
      </c>
      <c r="L7" s="359"/>
      <c r="M7" s="360"/>
      <c r="N7" s="361" t="s">
        <v>75</v>
      </c>
      <c r="O7" s="362"/>
      <c r="P7" s="363"/>
      <c r="Q7" s="232" t="s">
        <v>77</v>
      </c>
      <c r="R7" s="364" t="s">
        <v>177</v>
      </c>
      <c r="S7" s="365"/>
      <c r="T7" s="365"/>
      <c r="U7" s="326" t="s">
        <v>78</v>
      </c>
      <c r="V7" s="364" t="s">
        <v>176</v>
      </c>
      <c r="W7" s="365"/>
      <c r="X7" s="365"/>
      <c r="Y7" s="326" t="s">
        <v>80</v>
      </c>
      <c r="Z7" s="326" t="s">
        <v>82</v>
      </c>
      <c r="AA7" s="326" t="s">
        <v>83</v>
      </c>
      <c r="AB7" s="356" t="s">
        <v>33</v>
      </c>
      <c r="AC7" s="356"/>
      <c r="AD7" s="328" t="s">
        <v>156</v>
      </c>
      <c r="AE7" s="320" t="s">
        <v>157</v>
      </c>
      <c r="AF7" s="320" t="s">
        <v>158</v>
      </c>
      <c r="AG7" s="320" t="s">
        <v>159</v>
      </c>
      <c r="AH7" s="320" t="s">
        <v>83</v>
      </c>
      <c r="AI7" s="321"/>
      <c r="AJ7" s="321"/>
      <c r="AK7" s="321"/>
      <c r="AL7" s="321"/>
      <c r="AM7" s="321"/>
      <c r="AN7" s="321"/>
      <c r="AO7" s="321"/>
      <c r="AP7" s="321"/>
    </row>
    <row r="8" spans="1:46" s="130" customFormat="1" ht="24">
      <c r="A8" s="221" t="s">
        <v>73</v>
      </c>
      <c r="B8" s="221" t="s">
        <v>68</v>
      </c>
      <c r="C8" s="221" t="s">
        <v>146</v>
      </c>
      <c r="D8" s="221" t="s">
        <v>66</v>
      </c>
      <c r="E8" s="221" t="s">
        <v>85</v>
      </c>
      <c r="F8" s="221" t="s">
        <v>18</v>
      </c>
      <c r="G8" s="222" t="s">
        <v>24</v>
      </c>
      <c r="H8" s="327" t="s">
        <v>21</v>
      </c>
      <c r="I8" s="327" t="s">
        <v>22</v>
      </c>
      <c r="J8" s="327" t="s">
        <v>0</v>
      </c>
      <c r="K8" s="222" t="s">
        <v>149</v>
      </c>
      <c r="L8" s="222" t="s">
        <v>151</v>
      </c>
      <c r="M8" s="221" t="s">
        <v>152</v>
      </c>
      <c r="N8" s="221" t="s">
        <v>374</v>
      </c>
      <c r="O8" s="221" t="s">
        <v>375</v>
      </c>
      <c r="P8" s="221" t="s">
        <v>76</v>
      </c>
      <c r="Q8" s="222" t="s">
        <v>24</v>
      </c>
      <c r="R8" s="224" t="s">
        <v>25</v>
      </c>
      <c r="S8" s="224" t="s">
        <v>26</v>
      </c>
      <c r="T8" s="224" t="s">
        <v>27</v>
      </c>
      <c r="U8" s="225" t="s">
        <v>79</v>
      </c>
      <c r="V8" s="221" t="s">
        <v>88</v>
      </c>
      <c r="W8" s="222" t="s">
        <v>4</v>
      </c>
      <c r="X8" s="222" t="s">
        <v>3</v>
      </c>
      <c r="Y8" s="225" t="s">
        <v>81</v>
      </c>
      <c r="Z8" s="226" t="s">
        <v>84</v>
      </c>
      <c r="AA8" s="226" t="s">
        <v>1</v>
      </c>
      <c r="AB8" s="221" t="s">
        <v>34</v>
      </c>
      <c r="AC8" s="221" t="s">
        <v>35</v>
      </c>
      <c r="AD8" s="221" t="s">
        <v>155</v>
      </c>
      <c r="AE8" s="221" t="s">
        <v>40</v>
      </c>
      <c r="AF8" s="221" t="s">
        <v>28</v>
      </c>
      <c r="AG8" s="221" t="s">
        <v>48</v>
      </c>
      <c r="AH8" s="221" t="s">
        <v>1</v>
      </c>
      <c r="AI8" s="225" t="s">
        <v>86</v>
      </c>
      <c r="AJ8" s="225" t="s">
        <v>96</v>
      </c>
      <c r="AK8" s="225" t="s">
        <v>97</v>
      </c>
      <c r="AL8" s="225" t="s">
        <v>109</v>
      </c>
      <c r="AM8" s="225" t="s">
        <v>183</v>
      </c>
      <c r="AN8" s="225" t="s">
        <v>110</v>
      </c>
      <c r="AO8" s="225" t="s">
        <v>111</v>
      </c>
      <c r="AP8" s="226" t="s">
        <v>376</v>
      </c>
    </row>
    <row r="9" spans="1:46" s="155" customFormat="1" ht="12" customHeight="1">
      <c r="A9" s="136"/>
      <c r="B9" s="136"/>
      <c r="C9" s="136"/>
      <c r="D9" s="136"/>
      <c r="E9" s="136"/>
      <c r="F9" s="136"/>
      <c r="G9" s="137"/>
      <c r="H9" s="138"/>
      <c r="I9" s="138"/>
      <c r="J9" s="138"/>
      <c r="K9" s="139"/>
      <c r="L9" s="139"/>
      <c r="M9" s="140"/>
      <c r="N9" s="141"/>
      <c r="O9" s="141"/>
      <c r="P9" s="136"/>
      <c r="Q9" s="142" t="s">
        <v>29</v>
      </c>
      <c r="R9" s="143">
        <f>Assu!$C$3</f>
        <v>0.08</v>
      </c>
      <c r="S9" s="143">
        <f>Assu!$C$4</f>
        <v>1.4999999999999999E-2</v>
      </c>
      <c r="T9" s="143">
        <f>Assu!$C$5</f>
        <v>0.01</v>
      </c>
      <c r="U9" s="142" t="s">
        <v>30</v>
      </c>
      <c r="V9" s="144"/>
      <c r="W9" s="145">
        <v>4400000</v>
      </c>
      <c r="X9" s="145">
        <v>11000000</v>
      </c>
      <c r="Y9" s="146" t="s">
        <v>31</v>
      </c>
      <c r="Z9" s="147" t="s">
        <v>32</v>
      </c>
      <c r="AA9" s="147" t="s">
        <v>36</v>
      </c>
      <c r="AB9" s="148" t="s">
        <v>37</v>
      </c>
      <c r="AC9" s="148" t="s">
        <v>38</v>
      </c>
      <c r="AD9" s="149" t="s">
        <v>39</v>
      </c>
      <c r="AE9" s="151">
        <f>SUM(Assu!$B$3:$B$6)</f>
        <v>0.23499999999999999</v>
      </c>
      <c r="AF9" s="151">
        <f>SUM(R9:T9)+AE9</f>
        <v>0.33999999999999997</v>
      </c>
      <c r="AG9" s="151">
        <v>1</v>
      </c>
      <c r="AH9" s="151"/>
      <c r="AI9" s="152"/>
      <c r="AJ9" s="136"/>
      <c r="AK9" s="136"/>
      <c r="AL9" s="152"/>
      <c r="AM9" s="152"/>
      <c r="AN9" s="153"/>
      <c r="AO9" s="153"/>
      <c r="AP9" s="153"/>
      <c r="AQ9" s="154"/>
      <c r="AT9" s="154"/>
    </row>
    <row r="10" spans="1:46">
      <c r="A10" s="156">
        <v>1</v>
      </c>
      <c r="B10" s="157" t="s">
        <v>19</v>
      </c>
      <c r="C10" s="152" t="s">
        <v>148</v>
      </c>
      <c r="D10" s="152" t="s">
        <v>162</v>
      </c>
      <c r="E10" s="152">
        <v>40848</v>
      </c>
      <c r="F10" s="158" t="s">
        <v>64</v>
      </c>
      <c r="G10" s="238">
        <v>0</v>
      </c>
      <c r="H10" s="287">
        <v>23.5</v>
      </c>
      <c r="I10" s="287">
        <v>0</v>
      </c>
      <c r="J10" s="287">
        <f>H10+I10</f>
        <v>23.5</v>
      </c>
      <c r="K10" s="242">
        <f t="shared" ref="K10:K31" si="0">G10/H10*J10</f>
        <v>0</v>
      </c>
      <c r="L10" s="242">
        <v>50000000</v>
      </c>
      <c r="M10" s="162">
        <f>SUM(K10:L10)</f>
        <v>50000000</v>
      </c>
      <c r="N10" s="308"/>
      <c r="O10" s="50">
        <v>1000000</v>
      </c>
      <c r="P10" s="50"/>
      <c r="Q10" s="164">
        <f>SUM(M10:P10)</f>
        <v>51000000</v>
      </c>
      <c r="R10" s="165">
        <f>(MIN(VALUE($G10),[1]Assu!$E$3))*R$9</f>
        <v>0</v>
      </c>
      <c r="S10" s="165">
        <f>(MIN(VALUE($G10),[1]Assu!$E$4))*S$9</f>
        <v>0</v>
      </c>
      <c r="T10" s="165">
        <f>(MIN(VALUE($G10),[1]Assu!$E$5))*T$9</f>
        <v>0</v>
      </c>
      <c r="U10" s="159">
        <f>SUM(R10:T10)</f>
        <v>0</v>
      </c>
      <c r="V10" s="159">
        <v>0</v>
      </c>
      <c r="W10" s="50">
        <f>V10*$W$9</f>
        <v>0</v>
      </c>
      <c r="X10" s="50">
        <f t="shared" ref="X10:X31" si="1">IF(VALUE(Q10)=0,0,$X$9)</f>
        <v>11000000</v>
      </c>
      <c r="Y10" s="159">
        <f>SUM(W10:X10)</f>
        <v>11000000</v>
      </c>
      <c r="Z10" s="50">
        <f t="shared" ref="Z10:Z31" si="2">IF((Q10-U10-Y10)&lt;0,0,(Q10-U10-Y10))</f>
        <v>40000000</v>
      </c>
      <c r="AA10" s="290">
        <f>IF(AND(Z10&lt;10000000,Z10&gt;5000000),Z10*10%-250000,IF(AND(Z10&lt;18000000,Z10&gt;10000000),Z10*15%-750000,IF(AND(Z10&lt;32000000,Z10&gt;18000000),Z10*20%-1650000,IF(AND(Z10&lt;52000000,Z10&gt;32000000),Z10*25%-3250000,IF(AND(Z10&lt;80000000,Z10&gt;52000000),Z10*30%-5850000,IF(Z10&gt;80000000,Z10*35%-9850000,Z10*5%))))))</f>
        <v>6750000</v>
      </c>
      <c r="AB10" s="159"/>
      <c r="AC10" s="166"/>
      <c r="AD10" s="170">
        <f>Q10-U10-AB10+AC10</f>
        <v>51000000</v>
      </c>
      <c r="AE10" s="165">
        <f>(MIN(VALUE($G10),[1]Assu!$E$3))*AE$9</f>
        <v>0</v>
      </c>
      <c r="AF10" s="165">
        <f>(MIN(VALUE($G10),[1]Assu!$E$3))*AF$9</f>
        <v>0</v>
      </c>
      <c r="AG10" s="165">
        <f>Q10*$AG$9/12</f>
        <v>4250000</v>
      </c>
      <c r="AH10" s="165">
        <f>AA10</f>
        <v>6750000</v>
      </c>
      <c r="AI10" s="48" t="s">
        <v>377</v>
      </c>
      <c r="AJ10" s="48"/>
      <c r="AK10" s="48" t="s">
        <v>378</v>
      </c>
      <c r="AL10" s="153"/>
      <c r="AM10" s="48" t="s">
        <v>301</v>
      </c>
      <c r="AN10" s="123" t="s">
        <v>219</v>
      </c>
      <c r="AO10" s="168" t="s">
        <v>205</v>
      </c>
      <c r="AP10" s="168" t="s">
        <v>161</v>
      </c>
    </row>
    <row r="11" spans="1:46">
      <c r="A11" s="156">
        <v>2</v>
      </c>
      <c r="B11" s="157" t="s">
        <v>89</v>
      </c>
      <c r="C11" s="152" t="s">
        <v>148</v>
      </c>
      <c r="D11" s="152" t="s">
        <v>150</v>
      </c>
      <c r="E11" s="152">
        <v>40848</v>
      </c>
      <c r="F11" s="158" t="s">
        <v>90</v>
      </c>
      <c r="G11" s="322">
        <v>24000000</v>
      </c>
      <c r="H11" s="287">
        <v>23.5</v>
      </c>
      <c r="I11" s="287">
        <v>0</v>
      </c>
      <c r="J11" s="287">
        <f t="shared" ref="J11:J31" si="3">H11+I11</f>
        <v>23.5</v>
      </c>
      <c r="K11" s="242">
        <f t="shared" si="0"/>
        <v>24000000</v>
      </c>
      <c r="L11" s="50">
        <v>40000000</v>
      </c>
      <c r="M11" s="162">
        <f t="shared" ref="M11:M31" si="4">SUM(K11:L11)</f>
        <v>64000000</v>
      </c>
      <c r="N11" s="51"/>
      <c r="O11" s="50">
        <v>1000000</v>
      </c>
      <c r="P11" s="50"/>
      <c r="Q11" s="164">
        <f t="shared" ref="Q11:Q31" si="5">SUM(M11:P11)</f>
        <v>65000000</v>
      </c>
      <c r="R11" s="165">
        <f>(MIN(VALUE($G11),[1]Assu!$E$3))*R$9</f>
        <v>1920000</v>
      </c>
      <c r="S11" s="165">
        <f>(MIN(VALUE($G11),[1]Assu!$E$4))*S$9</f>
        <v>360000</v>
      </c>
      <c r="T11" s="165">
        <f>(MIN(VALUE($G11),[1]Assu!$E$5))*T$9</f>
        <v>240000</v>
      </c>
      <c r="U11" s="159">
        <f t="shared" ref="U11:U31" si="6">SUM(R11:T11)</f>
        <v>2520000</v>
      </c>
      <c r="V11" s="159">
        <v>1</v>
      </c>
      <c r="W11" s="50">
        <f t="shared" ref="W11:W31" si="7">V11*$W$9</f>
        <v>4400000</v>
      </c>
      <c r="X11" s="50">
        <f t="shared" si="1"/>
        <v>11000000</v>
      </c>
      <c r="Y11" s="159">
        <f t="shared" ref="Y11:Y31" si="8">SUM(W11:X11)</f>
        <v>15400000</v>
      </c>
      <c r="Z11" s="50">
        <f t="shared" si="2"/>
        <v>47080000</v>
      </c>
      <c r="AA11" s="290">
        <f t="shared" ref="AA11:AA31" si="9">IF(AND(Z11&lt;10000000,Z11&gt;5000000),Z11*10%-250000,IF(AND(Z11&lt;18000000,Z11&gt;10000000),Z11*15%-750000,IF(AND(Z11&lt;32000000,Z11&gt;18000000),Z11*20%-1650000,IF(AND(Z11&lt;52000000,Z11&gt;32000000),Z11*25%-3250000,IF(AND(Z11&lt;80000000,Z11&gt;52000000),Z11*30%-5850000,IF(Z11&gt;80000000,Z11*35%-9850000,Z11*5%))))))</f>
        <v>8520000</v>
      </c>
      <c r="AB11" s="159"/>
      <c r="AC11" s="166"/>
      <c r="AD11" s="164">
        <f>Q11-U11-AA11-AB11-AC11</f>
        <v>53960000</v>
      </c>
      <c r="AE11" s="165">
        <f>(MIN(VALUE($G11),[1]Assu!$E$3))*AE$9</f>
        <v>5640000</v>
      </c>
      <c r="AF11" s="165">
        <f>(MIN(VALUE($G11),[1]Assu!$E$3))*AF$9</f>
        <v>8159999.9999999991</v>
      </c>
      <c r="AG11" s="165">
        <f t="shared" ref="AG11:AG31" si="10">Q11*$AG$9/12</f>
        <v>5416666.666666667</v>
      </c>
      <c r="AH11" s="165">
        <f t="shared" ref="AH11:AH31" si="11">AA11</f>
        <v>8520000</v>
      </c>
      <c r="AI11" s="48" t="s">
        <v>377</v>
      </c>
      <c r="AJ11" s="48"/>
      <c r="AK11" s="48" t="s">
        <v>378</v>
      </c>
      <c r="AL11" s="159"/>
      <c r="AM11" s="48" t="s">
        <v>301</v>
      </c>
      <c r="AN11" s="123" t="s">
        <v>218</v>
      </c>
      <c r="AO11" s="168" t="s">
        <v>140</v>
      </c>
      <c r="AP11" s="168" t="s">
        <v>160</v>
      </c>
      <c r="AT11" s="169"/>
    </row>
    <row r="12" spans="1:46">
      <c r="A12" s="156">
        <v>3</v>
      </c>
      <c r="B12" s="157" t="s">
        <v>49</v>
      </c>
      <c r="C12" s="152" t="s">
        <v>148</v>
      </c>
      <c r="D12" s="152" t="s">
        <v>163</v>
      </c>
      <c r="E12" s="152">
        <v>41334</v>
      </c>
      <c r="F12" s="158" t="s">
        <v>65</v>
      </c>
      <c r="G12" s="238">
        <v>0</v>
      </c>
      <c r="H12" s="287">
        <v>23.5</v>
      </c>
      <c r="I12" s="287">
        <v>0</v>
      </c>
      <c r="J12" s="287">
        <f t="shared" si="3"/>
        <v>23.5</v>
      </c>
      <c r="K12" s="242">
        <f t="shared" si="0"/>
        <v>0</v>
      </c>
      <c r="L12" s="50">
        <f>16800000</f>
        <v>16800000</v>
      </c>
      <c r="M12" s="162">
        <f t="shared" si="4"/>
        <v>16800000</v>
      </c>
      <c r="N12" s="51"/>
      <c r="O12" s="50">
        <v>1000000</v>
      </c>
      <c r="P12" s="50"/>
      <c r="Q12" s="164">
        <f t="shared" si="5"/>
        <v>17800000</v>
      </c>
      <c r="R12" s="165">
        <f>(MIN(VALUE($G12),[1]Assu!$E$3))*R$9</f>
        <v>0</v>
      </c>
      <c r="S12" s="165">
        <f>(MIN(VALUE($G12),[1]Assu!$E$4))*S$9</f>
        <v>0</v>
      </c>
      <c r="T12" s="165">
        <f>(MIN(VALUE($G12),[1]Assu!$E$5))*T$9</f>
        <v>0</v>
      </c>
      <c r="U12" s="159">
        <f t="shared" si="6"/>
        <v>0</v>
      </c>
      <c r="V12" s="159">
        <v>0</v>
      </c>
      <c r="W12" s="50">
        <f t="shared" si="7"/>
        <v>0</v>
      </c>
      <c r="X12" s="50">
        <f t="shared" si="1"/>
        <v>11000000</v>
      </c>
      <c r="Y12" s="159">
        <f t="shared" si="8"/>
        <v>11000000</v>
      </c>
      <c r="Z12" s="50">
        <f t="shared" si="2"/>
        <v>6800000</v>
      </c>
      <c r="AA12" s="290">
        <f t="shared" si="9"/>
        <v>430000</v>
      </c>
      <c r="AB12" s="159"/>
      <c r="AC12" s="166"/>
      <c r="AD12" s="164">
        <f t="shared" ref="AD12:AD31" si="12">Q12-U12-AA12-AB12-AC12</f>
        <v>17370000</v>
      </c>
      <c r="AE12" s="165">
        <f>(MIN(VALUE($G12),[1]Assu!$E$3))*AE$9</f>
        <v>0</v>
      </c>
      <c r="AF12" s="165">
        <f>(MIN(VALUE($G12),[1]Assu!$E$3))*AF$9</f>
        <v>0</v>
      </c>
      <c r="AG12" s="165">
        <f t="shared" si="10"/>
        <v>1483333.3333333333</v>
      </c>
      <c r="AH12" s="165">
        <f t="shared" si="11"/>
        <v>430000</v>
      </c>
      <c r="AI12" s="48" t="s">
        <v>377</v>
      </c>
      <c r="AJ12" s="48"/>
      <c r="AK12" s="48" t="s">
        <v>378</v>
      </c>
      <c r="AL12" s="153"/>
      <c r="AM12" s="48" t="s">
        <v>301</v>
      </c>
      <c r="AN12" s="123" t="s">
        <v>220</v>
      </c>
      <c r="AO12" s="168" t="s">
        <v>140</v>
      </c>
      <c r="AP12" s="168" t="s">
        <v>161</v>
      </c>
      <c r="AT12" s="169"/>
    </row>
    <row r="13" spans="1:46">
      <c r="A13" s="156">
        <v>4</v>
      </c>
      <c r="B13" s="157" t="s">
        <v>112</v>
      </c>
      <c r="C13" s="152" t="s">
        <v>148</v>
      </c>
      <c r="D13" s="152" t="s">
        <v>163</v>
      </c>
      <c r="E13" s="124">
        <v>42177</v>
      </c>
      <c r="F13" s="158" t="s">
        <v>113</v>
      </c>
      <c r="G13" s="322">
        <v>12000000</v>
      </c>
      <c r="H13" s="287">
        <v>23.5</v>
      </c>
      <c r="I13" s="287">
        <v>0</v>
      </c>
      <c r="J13" s="287">
        <f t="shared" si="3"/>
        <v>23.5</v>
      </c>
      <c r="K13" s="242">
        <f t="shared" si="0"/>
        <v>12000000</v>
      </c>
      <c r="L13" s="50"/>
      <c r="M13" s="162">
        <f t="shared" si="4"/>
        <v>12000000</v>
      </c>
      <c r="N13" s="51"/>
      <c r="O13" s="50">
        <v>1000000</v>
      </c>
      <c r="P13" s="50"/>
      <c r="Q13" s="164">
        <f t="shared" si="5"/>
        <v>13000000</v>
      </c>
      <c r="R13" s="165">
        <f>(MIN(VALUE($G13),[1]Assu!$E$3))*R$9</f>
        <v>960000</v>
      </c>
      <c r="S13" s="165">
        <f>(MIN(VALUE($G13),[1]Assu!$E$4))*S$9</f>
        <v>180000</v>
      </c>
      <c r="T13" s="165">
        <f>(MIN(VALUE($G13),[1]Assu!$E$5))*T$9</f>
        <v>120000</v>
      </c>
      <c r="U13" s="159">
        <f t="shared" si="6"/>
        <v>1260000</v>
      </c>
      <c r="V13" s="159">
        <v>0</v>
      </c>
      <c r="W13" s="50">
        <f t="shared" si="7"/>
        <v>0</v>
      </c>
      <c r="X13" s="50">
        <f t="shared" si="1"/>
        <v>11000000</v>
      </c>
      <c r="Y13" s="159">
        <f t="shared" si="8"/>
        <v>11000000</v>
      </c>
      <c r="Z13" s="50">
        <f t="shared" si="2"/>
        <v>740000</v>
      </c>
      <c r="AA13" s="290">
        <f t="shared" si="9"/>
        <v>37000</v>
      </c>
      <c r="AB13" s="235"/>
      <c r="AC13" s="166"/>
      <c r="AD13" s="164">
        <f t="shared" si="12"/>
        <v>11703000</v>
      </c>
      <c r="AE13" s="165">
        <f>(MIN(VALUE($G13),[1]Assu!$E$3))*AE$9</f>
        <v>2820000</v>
      </c>
      <c r="AF13" s="165">
        <f>(MIN(VALUE($G13),[1]Assu!$E$3))*AF$9</f>
        <v>4079999.9999999995</v>
      </c>
      <c r="AG13" s="165">
        <f t="shared" si="10"/>
        <v>1083333.3333333333</v>
      </c>
      <c r="AH13" s="165">
        <f t="shared" si="11"/>
        <v>37000</v>
      </c>
      <c r="AI13" s="48"/>
      <c r="AJ13" s="48"/>
      <c r="AK13" s="48" t="s">
        <v>378</v>
      </c>
      <c r="AL13" s="153"/>
      <c r="AM13" s="48" t="s">
        <v>301</v>
      </c>
      <c r="AN13" s="123" t="s">
        <v>221</v>
      </c>
      <c r="AO13" s="168" t="s">
        <v>141</v>
      </c>
      <c r="AP13" s="168" t="s">
        <v>160</v>
      </c>
      <c r="AT13" s="169"/>
    </row>
    <row r="14" spans="1:46">
      <c r="A14" s="156">
        <v>5</v>
      </c>
      <c r="B14" s="157" t="s">
        <v>114</v>
      </c>
      <c r="C14" s="152" t="s">
        <v>148</v>
      </c>
      <c r="D14" s="227" t="s">
        <v>169</v>
      </c>
      <c r="E14" s="124">
        <v>42492</v>
      </c>
      <c r="F14" s="247" t="s">
        <v>115</v>
      </c>
      <c r="G14" s="322">
        <v>11000000</v>
      </c>
      <c r="H14" s="287">
        <v>23.5</v>
      </c>
      <c r="I14" s="287">
        <v>0</v>
      </c>
      <c r="J14" s="287">
        <f t="shared" si="3"/>
        <v>23.5</v>
      </c>
      <c r="K14" s="242">
        <f t="shared" si="0"/>
        <v>11000000</v>
      </c>
      <c r="L14" s="50"/>
      <c r="M14" s="162">
        <f t="shared" si="4"/>
        <v>11000000</v>
      </c>
      <c r="N14" s="51"/>
      <c r="O14" s="50">
        <v>1000000</v>
      </c>
      <c r="P14" s="50"/>
      <c r="Q14" s="164">
        <f t="shared" si="5"/>
        <v>12000000</v>
      </c>
      <c r="R14" s="165">
        <f>(MIN(VALUE($G14),[1]Assu!$E$3))*R$9</f>
        <v>880000</v>
      </c>
      <c r="S14" s="165">
        <f>(MIN(VALUE($G14),[1]Assu!$E$4))*S$9</f>
        <v>165000</v>
      </c>
      <c r="T14" s="165">
        <f>(MIN(VALUE($G14),[1]Assu!$E$5))*T$9</f>
        <v>110000</v>
      </c>
      <c r="U14" s="159">
        <f t="shared" si="6"/>
        <v>1155000</v>
      </c>
      <c r="V14" s="159">
        <v>0</v>
      </c>
      <c r="W14" s="50">
        <f t="shared" si="7"/>
        <v>0</v>
      </c>
      <c r="X14" s="50">
        <f t="shared" si="1"/>
        <v>11000000</v>
      </c>
      <c r="Y14" s="159">
        <f t="shared" si="8"/>
        <v>11000000</v>
      </c>
      <c r="Z14" s="50">
        <f t="shared" si="2"/>
        <v>0</v>
      </c>
      <c r="AA14" s="290">
        <f t="shared" si="9"/>
        <v>0</v>
      </c>
      <c r="AB14" s="159"/>
      <c r="AC14" s="166"/>
      <c r="AD14" s="164">
        <f t="shared" si="12"/>
        <v>10845000</v>
      </c>
      <c r="AE14" s="165">
        <f>(MIN(VALUE($G14),[1]Assu!$E$3))*AE$9</f>
        <v>2585000</v>
      </c>
      <c r="AF14" s="165">
        <f>(MIN(VALUE($G14),[1]Assu!$E$3))*AF$9</f>
        <v>3739999.9999999995</v>
      </c>
      <c r="AG14" s="165">
        <f t="shared" si="10"/>
        <v>1000000</v>
      </c>
      <c r="AH14" s="165">
        <f t="shared" si="11"/>
        <v>0</v>
      </c>
      <c r="AI14" s="48"/>
      <c r="AJ14" s="48"/>
      <c r="AK14" s="48" t="s">
        <v>378</v>
      </c>
      <c r="AL14" s="48"/>
      <c r="AM14" s="48" t="s">
        <v>301</v>
      </c>
      <c r="AN14" s="123" t="s">
        <v>223</v>
      </c>
      <c r="AO14" s="168" t="s">
        <v>201</v>
      </c>
      <c r="AP14" s="168" t="s">
        <v>160</v>
      </c>
      <c r="AT14" s="169"/>
    </row>
    <row r="15" spans="1:46" s="18" customFormat="1">
      <c r="A15" s="156">
        <v>6</v>
      </c>
      <c r="B15" s="288" t="s">
        <v>298</v>
      </c>
      <c r="C15" s="152" t="s">
        <v>148</v>
      </c>
      <c r="D15" s="296" t="s">
        <v>299</v>
      </c>
      <c r="E15" s="124">
        <v>41855</v>
      </c>
      <c r="F15" s="291" t="s">
        <v>300</v>
      </c>
      <c r="G15" s="292">
        <v>9080000</v>
      </c>
      <c r="H15" s="287">
        <v>23.5</v>
      </c>
      <c r="I15" s="287">
        <v>0</v>
      </c>
      <c r="J15" s="287">
        <f t="shared" si="3"/>
        <v>23.5</v>
      </c>
      <c r="K15" s="242">
        <f t="shared" si="0"/>
        <v>9080000</v>
      </c>
      <c r="L15" s="50">
        <v>700000</v>
      </c>
      <c r="M15" s="162">
        <f t="shared" si="4"/>
        <v>9780000</v>
      </c>
      <c r="N15" s="248">
        <v>2586800</v>
      </c>
      <c r="O15" s="50">
        <v>1000000</v>
      </c>
      <c r="P15" s="50"/>
      <c r="Q15" s="164">
        <f t="shared" si="5"/>
        <v>13366800</v>
      </c>
      <c r="R15" s="165">
        <f>(MIN(VALUE($G15),[1]Assu!$E$3))*R$9</f>
        <v>726400</v>
      </c>
      <c r="S15" s="165">
        <f>(MIN(VALUE($G15),[1]Assu!$E$4))*S$9</f>
        <v>136200</v>
      </c>
      <c r="T15" s="165">
        <f>(MIN(VALUE($G15),[1]Assu!$E$5))*T$9</f>
        <v>90800</v>
      </c>
      <c r="U15" s="159">
        <f t="shared" si="6"/>
        <v>953400</v>
      </c>
      <c r="V15" s="50">
        <v>1</v>
      </c>
      <c r="W15" s="50">
        <f t="shared" si="7"/>
        <v>4400000</v>
      </c>
      <c r="X15" s="50">
        <f t="shared" si="1"/>
        <v>11000000</v>
      </c>
      <c r="Y15" s="159">
        <f t="shared" si="8"/>
        <v>15400000</v>
      </c>
      <c r="Z15" s="50">
        <f t="shared" si="2"/>
        <v>0</v>
      </c>
      <c r="AA15" s="290">
        <f t="shared" si="9"/>
        <v>0</v>
      </c>
      <c r="AB15" s="51"/>
      <c r="AC15" s="51"/>
      <c r="AD15" s="164">
        <f t="shared" si="12"/>
        <v>12413400</v>
      </c>
      <c r="AE15" s="165">
        <f>(MIN(VALUE($G15),[1]Assu!$E$3))*AE$9</f>
        <v>2133800</v>
      </c>
      <c r="AF15" s="165">
        <f>(MIN(VALUE($G15),[1]Assu!$E$3))*AF$9</f>
        <v>3087199.9999999995</v>
      </c>
      <c r="AG15" s="165">
        <f t="shared" si="10"/>
        <v>1113900</v>
      </c>
      <c r="AH15" s="165">
        <f t="shared" si="11"/>
        <v>0</v>
      </c>
      <c r="AI15" s="48" t="s">
        <v>377</v>
      </c>
      <c r="AJ15" s="48" t="s">
        <v>383</v>
      </c>
      <c r="AK15" s="48" t="s">
        <v>378</v>
      </c>
      <c r="AL15" s="48"/>
      <c r="AM15" s="48" t="s">
        <v>301</v>
      </c>
      <c r="AN15" s="48" t="s">
        <v>302</v>
      </c>
      <c r="AO15" s="48" t="s">
        <v>141</v>
      </c>
      <c r="AP15" s="48" t="s">
        <v>160</v>
      </c>
      <c r="AT15" s="23"/>
    </row>
    <row r="16" spans="1:46">
      <c r="A16" s="156">
        <v>7</v>
      </c>
      <c r="B16" s="157" t="s">
        <v>122</v>
      </c>
      <c r="C16" s="244" t="s">
        <v>168</v>
      </c>
      <c r="D16" s="152" t="s">
        <v>170</v>
      </c>
      <c r="E16" s="152">
        <v>42114</v>
      </c>
      <c r="F16" s="158" t="s">
        <v>123</v>
      </c>
      <c r="G16" s="285">
        <v>13600000</v>
      </c>
      <c r="H16" s="287">
        <v>23.5</v>
      </c>
      <c r="I16" s="287">
        <v>0</v>
      </c>
      <c r="J16" s="287">
        <f t="shared" si="3"/>
        <v>23.5</v>
      </c>
      <c r="K16" s="242">
        <v>0</v>
      </c>
      <c r="L16" s="50"/>
      <c r="M16" s="162">
        <f t="shared" si="4"/>
        <v>0</v>
      </c>
      <c r="N16" s="248">
        <v>1592216</v>
      </c>
      <c r="O16" s="50">
        <v>1000000</v>
      </c>
      <c r="P16" s="50"/>
      <c r="Q16" s="164">
        <f t="shared" si="5"/>
        <v>2592216</v>
      </c>
      <c r="R16" s="165"/>
      <c r="S16" s="165"/>
      <c r="T16" s="165"/>
      <c r="U16" s="159">
        <f t="shared" si="6"/>
        <v>0</v>
      </c>
      <c r="V16" s="159">
        <v>1</v>
      </c>
      <c r="W16" s="50">
        <f t="shared" si="7"/>
        <v>4400000</v>
      </c>
      <c r="X16" s="50">
        <f t="shared" si="1"/>
        <v>11000000</v>
      </c>
      <c r="Y16" s="159">
        <f t="shared" si="8"/>
        <v>15400000</v>
      </c>
      <c r="Z16" s="50">
        <f t="shared" si="2"/>
        <v>0</v>
      </c>
      <c r="AA16" s="290">
        <f t="shared" si="9"/>
        <v>0</v>
      </c>
      <c r="AB16" s="159"/>
      <c r="AC16" s="166"/>
      <c r="AD16" s="164">
        <f t="shared" si="12"/>
        <v>2592216</v>
      </c>
      <c r="AE16" s="165"/>
      <c r="AF16" s="165"/>
      <c r="AG16" s="165">
        <f t="shared" si="10"/>
        <v>216018</v>
      </c>
      <c r="AH16" s="165">
        <f t="shared" si="11"/>
        <v>0</v>
      </c>
      <c r="AI16" s="48"/>
      <c r="AJ16" s="48" t="s">
        <v>379</v>
      </c>
      <c r="AK16" s="48" t="s">
        <v>378</v>
      </c>
      <c r="AL16" s="48"/>
      <c r="AM16" s="48" t="s">
        <v>301</v>
      </c>
      <c r="AN16" s="123" t="s">
        <v>229</v>
      </c>
      <c r="AO16" s="168" t="s">
        <v>141</v>
      </c>
      <c r="AP16" s="168" t="s">
        <v>160</v>
      </c>
    </row>
    <row r="17" spans="1:46">
      <c r="A17" s="156">
        <v>8</v>
      </c>
      <c r="B17" s="243" t="s">
        <v>280</v>
      </c>
      <c r="C17" s="244" t="s">
        <v>168</v>
      </c>
      <c r="D17" s="152" t="s">
        <v>170</v>
      </c>
      <c r="E17" s="152">
        <v>43619</v>
      </c>
      <c r="F17" s="158" t="s">
        <v>281</v>
      </c>
      <c r="G17" s="285">
        <v>8000000</v>
      </c>
      <c r="H17" s="287">
        <v>23.5</v>
      </c>
      <c r="I17" s="287">
        <v>0</v>
      </c>
      <c r="J17" s="287">
        <f t="shared" si="3"/>
        <v>23.5</v>
      </c>
      <c r="K17" s="242">
        <f t="shared" si="0"/>
        <v>7999999.9999999991</v>
      </c>
      <c r="L17" s="50"/>
      <c r="M17" s="162">
        <f t="shared" si="4"/>
        <v>7999999.9999999991</v>
      </c>
      <c r="N17" s="248">
        <v>1347900</v>
      </c>
      <c r="O17" s="50">
        <v>1000000</v>
      </c>
      <c r="P17" s="50"/>
      <c r="Q17" s="164">
        <f t="shared" si="5"/>
        <v>10347900</v>
      </c>
      <c r="R17" s="165">
        <f>(MIN(VALUE($G17),[1]Assu!$E$3))*R$9</f>
        <v>640000</v>
      </c>
      <c r="S17" s="165">
        <f>(MIN(VALUE($G17),[1]Assu!$E$4))*S$9</f>
        <v>120000</v>
      </c>
      <c r="T17" s="165">
        <f>(MIN(VALUE($G17),[1]Assu!$E$5))*T$9</f>
        <v>80000</v>
      </c>
      <c r="U17" s="159">
        <f t="shared" si="6"/>
        <v>840000</v>
      </c>
      <c r="V17" s="159">
        <v>0</v>
      </c>
      <c r="W17" s="50">
        <f t="shared" si="7"/>
        <v>0</v>
      </c>
      <c r="X17" s="50">
        <f t="shared" si="1"/>
        <v>11000000</v>
      </c>
      <c r="Y17" s="159">
        <f t="shared" si="8"/>
        <v>11000000</v>
      </c>
      <c r="Z17" s="50">
        <f t="shared" si="2"/>
        <v>0</v>
      </c>
      <c r="AA17" s="290">
        <f t="shared" si="9"/>
        <v>0</v>
      </c>
      <c r="AB17" s="159"/>
      <c r="AC17" s="166"/>
      <c r="AD17" s="164">
        <f t="shared" si="12"/>
        <v>9507900</v>
      </c>
      <c r="AE17" s="165">
        <f>(MIN(VALUE($G17),[1]Assu!$E$3))*AE$9</f>
        <v>1880000</v>
      </c>
      <c r="AF17" s="165">
        <f>(MIN(VALUE($G17),[1]Assu!$E$3))*AF$9</f>
        <v>2719999.9999999995</v>
      </c>
      <c r="AG17" s="165">
        <f t="shared" si="10"/>
        <v>862325</v>
      </c>
      <c r="AH17" s="165">
        <f t="shared" si="11"/>
        <v>0</v>
      </c>
      <c r="AI17" s="48"/>
      <c r="AJ17" s="48" t="s">
        <v>379</v>
      </c>
      <c r="AK17" s="48" t="s">
        <v>378</v>
      </c>
      <c r="AL17" s="48"/>
      <c r="AM17" s="48" t="s">
        <v>301</v>
      </c>
      <c r="AN17" s="123" t="s">
        <v>329</v>
      </c>
      <c r="AO17" s="168" t="s">
        <v>141</v>
      </c>
      <c r="AP17" s="168" t="s">
        <v>160</v>
      </c>
    </row>
    <row r="18" spans="1:46">
      <c r="A18" s="156">
        <v>9</v>
      </c>
      <c r="B18" s="157" t="s">
        <v>120</v>
      </c>
      <c r="C18" s="244" t="s">
        <v>168</v>
      </c>
      <c r="D18" s="227" t="s">
        <v>194</v>
      </c>
      <c r="E18" s="124">
        <v>40848</v>
      </c>
      <c r="F18" s="247" t="s">
        <v>121</v>
      </c>
      <c r="G18" s="285">
        <v>20000000</v>
      </c>
      <c r="H18" s="287">
        <v>23.5</v>
      </c>
      <c r="I18" s="287">
        <v>0</v>
      </c>
      <c r="J18" s="287">
        <f t="shared" si="3"/>
        <v>23.5</v>
      </c>
      <c r="K18" s="242">
        <f t="shared" si="0"/>
        <v>20000000</v>
      </c>
      <c r="L18" s="51"/>
      <c r="M18" s="162">
        <f t="shared" si="4"/>
        <v>20000000</v>
      </c>
      <c r="N18" s="50">
        <v>21198600</v>
      </c>
      <c r="O18" s="50">
        <v>1000000</v>
      </c>
      <c r="P18" s="172">
        <v>500000</v>
      </c>
      <c r="Q18" s="164">
        <f t="shared" si="5"/>
        <v>42698600</v>
      </c>
      <c r="R18" s="165">
        <f>(MIN(VALUE($G18),[1]Assu!$E$3))*R$9</f>
        <v>1600000</v>
      </c>
      <c r="S18" s="165">
        <f>(MIN(VALUE($G18),[1]Assu!$E$4))*S$9</f>
        <v>300000</v>
      </c>
      <c r="T18" s="165">
        <f>(MIN(VALUE($G18),[1]Assu!$E$5))*T$9</f>
        <v>200000</v>
      </c>
      <c r="U18" s="159">
        <f t="shared" si="6"/>
        <v>2100000</v>
      </c>
      <c r="V18" s="159">
        <v>1</v>
      </c>
      <c r="W18" s="50">
        <f t="shared" si="7"/>
        <v>4400000</v>
      </c>
      <c r="X18" s="50">
        <f t="shared" si="1"/>
        <v>11000000</v>
      </c>
      <c r="Y18" s="159">
        <f t="shared" si="8"/>
        <v>15400000</v>
      </c>
      <c r="Z18" s="50">
        <f t="shared" si="2"/>
        <v>25198600</v>
      </c>
      <c r="AA18" s="290">
        <f t="shared" si="9"/>
        <v>3389720</v>
      </c>
      <c r="AB18" s="159"/>
      <c r="AC18" s="166"/>
      <c r="AD18" s="164">
        <f t="shared" si="12"/>
        <v>37208880</v>
      </c>
      <c r="AE18" s="165">
        <f>(MIN(VALUE($G18),[1]Assu!$E$3))*AE$9</f>
        <v>4700000</v>
      </c>
      <c r="AF18" s="165">
        <f>(MIN(VALUE($G18),[1]Assu!$E$3))*AF$9</f>
        <v>6799999.9999999991</v>
      </c>
      <c r="AG18" s="165">
        <f t="shared" si="10"/>
        <v>3558216.6666666665</v>
      </c>
      <c r="AH18" s="165">
        <f t="shared" si="11"/>
        <v>3389720</v>
      </c>
      <c r="AI18" s="48"/>
      <c r="AJ18" s="48" t="s">
        <v>380</v>
      </c>
      <c r="AK18" s="48" t="s">
        <v>378</v>
      </c>
      <c r="AL18" s="48" t="s">
        <v>381</v>
      </c>
      <c r="AM18" s="48" t="s">
        <v>301</v>
      </c>
      <c r="AN18" s="123" t="s">
        <v>225</v>
      </c>
      <c r="AO18" s="168" t="s">
        <v>144</v>
      </c>
      <c r="AP18" s="168" t="s">
        <v>160</v>
      </c>
    </row>
    <row r="19" spans="1:46">
      <c r="A19" s="156">
        <v>10</v>
      </c>
      <c r="B19" s="157" t="s">
        <v>124</v>
      </c>
      <c r="C19" s="244" t="s">
        <v>168</v>
      </c>
      <c r="D19" s="227" t="s">
        <v>194</v>
      </c>
      <c r="E19" s="124">
        <v>41855</v>
      </c>
      <c r="F19" s="247" t="s">
        <v>125</v>
      </c>
      <c r="G19" s="285">
        <v>12000000</v>
      </c>
      <c r="H19" s="287">
        <v>23.5</v>
      </c>
      <c r="I19" s="287">
        <v>0</v>
      </c>
      <c r="J19" s="287">
        <f t="shared" si="3"/>
        <v>23.5</v>
      </c>
      <c r="K19" s="242">
        <f t="shared" si="0"/>
        <v>12000000</v>
      </c>
      <c r="L19" s="292"/>
      <c r="M19" s="162">
        <f t="shared" si="4"/>
        <v>12000000</v>
      </c>
      <c r="N19" s="50">
        <v>69370940</v>
      </c>
      <c r="O19" s="50">
        <v>1000000</v>
      </c>
      <c r="P19" s="172">
        <v>500000</v>
      </c>
      <c r="Q19" s="164">
        <f t="shared" si="5"/>
        <v>82870940</v>
      </c>
      <c r="R19" s="165">
        <f>(MIN(VALUE($G19),[1]Assu!$E$3))*R$9</f>
        <v>960000</v>
      </c>
      <c r="S19" s="165">
        <f>(MIN(VALUE($G19),[1]Assu!$E$4))*S$9</f>
        <v>180000</v>
      </c>
      <c r="T19" s="165">
        <f>(MIN(VALUE($G19),[1]Assu!$E$5))*T$9</f>
        <v>120000</v>
      </c>
      <c r="U19" s="159">
        <f t="shared" si="6"/>
        <v>1260000</v>
      </c>
      <c r="V19" s="159">
        <v>1</v>
      </c>
      <c r="W19" s="50">
        <f t="shared" si="7"/>
        <v>4400000</v>
      </c>
      <c r="X19" s="50">
        <f t="shared" si="1"/>
        <v>11000000</v>
      </c>
      <c r="Y19" s="159">
        <f t="shared" si="8"/>
        <v>15400000</v>
      </c>
      <c r="Z19" s="50">
        <f t="shared" si="2"/>
        <v>66210940</v>
      </c>
      <c r="AA19" s="290">
        <f t="shared" si="9"/>
        <v>14013282</v>
      </c>
      <c r="AB19" s="159"/>
      <c r="AC19" s="166"/>
      <c r="AD19" s="164">
        <f t="shared" si="12"/>
        <v>67597658</v>
      </c>
      <c r="AE19" s="165">
        <f>(MIN(VALUE($G19),[1]Assu!$E$3))*AE$9</f>
        <v>2820000</v>
      </c>
      <c r="AF19" s="165">
        <f>(MIN(VALUE($G19),[1]Assu!$E$3))*AF$9</f>
        <v>4079999.9999999995</v>
      </c>
      <c r="AG19" s="165">
        <f t="shared" si="10"/>
        <v>6905911.666666667</v>
      </c>
      <c r="AH19" s="165">
        <f t="shared" si="11"/>
        <v>14013282</v>
      </c>
      <c r="AI19" s="48"/>
      <c r="AJ19" s="48" t="s">
        <v>380</v>
      </c>
      <c r="AK19" s="48" t="s">
        <v>378</v>
      </c>
      <c r="AL19" s="48" t="s">
        <v>381</v>
      </c>
      <c r="AM19" s="48" t="s">
        <v>301</v>
      </c>
      <c r="AN19" s="123" t="s">
        <v>226</v>
      </c>
      <c r="AO19" s="168" t="s">
        <v>141</v>
      </c>
      <c r="AP19" s="168" t="s">
        <v>160</v>
      </c>
    </row>
    <row r="20" spans="1:46">
      <c r="A20" s="156">
        <v>11</v>
      </c>
      <c r="B20" s="173" t="s">
        <v>116</v>
      </c>
      <c r="C20" s="244" t="s">
        <v>168</v>
      </c>
      <c r="D20" s="227" t="s">
        <v>194</v>
      </c>
      <c r="E20" s="124">
        <v>42736</v>
      </c>
      <c r="F20" s="158" t="s">
        <v>117</v>
      </c>
      <c r="G20" s="322">
        <v>7500000</v>
      </c>
      <c r="H20" s="287">
        <v>23.5</v>
      </c>
      <c r="I20" s="287">
        <v>0</v>
      </c>
      <c r="J20" s="287">
        <f t="shared" si="3"/>
        <v>23.5</v>
      </c>
      <c r="K20" s="242">
        <f t="shared" si="0"/>
        <v>7500000</v>
      </c>
      <c r="L20" s="297"/>
      <c r="M20" s="162">
        <f t="shared" si="4"/>
        <v>7500000</v>
      </c>
      <c r="N20" s="50"/>
      <c r="O20" s="50">
        <v>1000000</v>
      </c>
      <c r="P20" s="159">
        <v>500000</v>
      </c>
      <c r="Q20" s="164">
        <f t="shared" si="5"/>
        <v>9000000</v>
      </c>
      <c r="R20" s="165">
        <f>(MIN(VALUE($G20),[1]Assu!$E$3))*R$9</f>
        <v>600000</v>
      </c>
      <c r="S20" s="165">
        <f>(MIN(VALUE($G20),[1]Assu!$E$4))*S$9</f>
        <v>112500</v>
      </c>
      <c r="T20" s="165">
        <f>(MIN(VALUE($G20),[1]Assu!$E$5))*T$9</f>
        <v>75000</v>
      </c>
      <c r="U20" s="159">
        <f t="shared" si="6"/>
        <v>787500</v>
      </c>
      <c r="V20" s="159">
        <v>0</v>
      </c>
      <c r="W20" s="50">
        <f t="shared" si="7"/>
        <v>0</v>
      </c>
      <c r="X20" s="50">
        <f t="shared" si="1"/>
        <v>11000000</v>
      </c>
      <c r="Y20" s="159">
        <f t="shared" si="8"/>
        <v>11000000</v>
      </c>
      <c r="Z20" s="50">
        <f t="shared" si="2"/>
        <v>0</v>
      </c>
      <c r="AA20" s="290">
        <f t="shared" si="9"/>
        <v>0</v>
      </c>
      <c r="AB20" s="159"/>
      <c r="AC20" s="166"/>
      <c r="AD20" s="164">
        <f t="shared" si="12"/>
        <v>8212500</v>
      </c>
      <c r="AE20" s="165">
        <f>(MIN(VALUE($G20),[1]Assu!$E$3))*AE$9</f>
        <v>1762500</v>
      </c>
      <c r="AF20" s="165">
        <f>(MIN(VALUE($G20),[1]Assu!$E$3))*AF$9</f>
        <v>2549999.9999999995</v>
      </c>
      <c r="AG20" s="165">
        <f t="shared" si="10"/>
        <v>750000</v>
      </c>
      <c r="AH20" s="165">
        <f t="shared" si="11"/>
        <v>0</v>
      </c>
      <c r="AI20" s="48"/>
      <c r="AJ20" s="48"/>
      <c r="AK20" s="48" t="s">
        <v>378</v>
      </c>
      <c r="AL20" s="48" t="s">
        <v>381</v>
      </c>
      <c r="AM20" s="48" t="s">
        <v>301</v>
      </c>
      <c r="AN20" s="123" t="s">
        <v>230</v>
      </c>
      <c r="AO20" s="168" t="s">
        <v>143</v>
      </c>
      <c r="AP20" s="168" t="s">
        <v>160</v>
      </c>
      <c r="AT20" s="169"/>
    </row>
    <row r="21" spans="1:46">
      <c r="A21" s="156">
        <v>12</v>
      </c>
      <c r="B21" s="243" t="s">
        <v>282</v>
      </c>
      <c r="C21" s="244" t="s">
        <v>168</v>
      </c>
      <c r="D21" s="227" t="s">
        <v>194</v>
      </c>
      <c r="E21" s="124">
        <v>43675</v>
      </c>
      <c r="F21" s="158" t="s">
        <v>283</v>
      </c>
      <c r="G21" s="285">
        <v>7000000</v>
      </c>
      <c r="H21" s="287">
        <v>23.5</v>
      </c>
      <c r="I21" s="287">
        <v>0</v>
      </c>
      <c r="J21" s="287">
        <f t="shared" si="3"/>
        <v>23.5</v>
      </c>
      <c r="K21" s="242">
        <f t="shared" si="0"/>
        <v>7000000</v>
      </c>
      <c r="L21" s="297"/>
      <c r="M21" s="162">
        <f t="shared" si="4"/>
        <v>7000000</v>
      </c>
      <c r="N21" s="50">
        <v>800000</v>
      </c>
      <c r="O21" s="50">
        <v>1000000</v>
      </c>
      <c r="P21" s="159">
        <v>500000</v>
      </c>
      <c r="Q21" s="164">
        <f t="shared" si="5"/>
        <v>9300000</v>
      </c>
      <c r="R21" s="165">
        <f>(MIN(VALUE($G21),[1]Assu!$E$3))*R$9</f>
        <v>560000</v>
      </c>
      <c r="S21" s="165">
        <f>(MIN(VALUE($G21),[1]Assu!$E$4))*S$9</f>
        <v>105000</v>
      </c>
      <c r="T21" s="165">
        <f>(MIN(VALUE($G21),[1]Assu!$E$5))*T$9</f>
        <v>70000</v>
      </c>
      <c r="U21" s="159">
        <f t="shared" si="6"/>
        <v>735000</v>
      </c>
      <c r="V21" s="159">
        <v>0</v>
      </c>
      <c r="W21" s="50">
        <f t="shared" si="7"/>
        <v>0</v>
      </c>
      <c r="X21" s="50">
        <f t="shared" si="1"/>
        <v>11000000</v>
      </c>
      <c r="Y21" s="159">
        <f t="shared" si="8"/>
        <v>11000000</v>
      </c>
      <c r="Z21" s="50">
        <f t="shared" si="2"/>
        <v>0</v>
      </c>
      <c r="AA21" s="290">
        <f t="shared" si="9"/>
        <v>0</v>
      </c>
      <c r="AB21" s="159"/>
      <c r="AC21" s="166"/>
      <c r="AD21" s="164">
        <f t="shared" si="12"/>
        <v>8565000</v>
      </c>
      <c r="AE21" s="165">
        <f>(MIN(VALUE($G21),[1]Assu!$E$3))*AE$9</f>
        <v>1645000</v>
      </c>
      <c r="AF21" s="165">
        <f>(MIN(VALUE($G21),[1]Assu!$E$3))*AF$9</f>
        <v>2380000</v>
      </c>
      <c r="AG21" s="165">
        <f t="shared" si="10"/>
        <v>775000</v>
      </c>
      <c r="AH21" s="165">
        <f t="shared" si="11"/>
        <v>0</v>
      </c>
      <c r="AI21" s="48"/>
      <c r="AJ21" s="48" t="s">
        <v>380</v>
      </c>
      <c r="AK21" s="48" t="s">
        <v>378</v>
      </c>
      <c r="AL21" s="48" t="s">
        <v>381</v>
      </c>
      <c r="AM21" s="48" t="s">
        <v>301</v>
      </c>
      <c r="AN21" s="123" t="s">
        <v>284</v>
      </c>
      <c r="AO21" s="123" t="s">
        <v>286</v>
      </c>
      <c r="AP21" s="168" t="s">
        <v>160</v>
      </c>
    </row>
    <row r="22" spans="1:46">
      <c r="A22" s="156">
        <v>13</v>
      </c>
      <c r="B22" s="286" t="s">
        <v>367</v>
      </c>
      <c r="C22" s="244" t="s">
        <v>168</v>
      </c>
      <c r="D22" s="227" t="s">
        <v>194</v>
      </c>
      <c r="E22" s="323">
        <v>44200</v>
      </c>
      <c r="F22" s="158" t="s">
        <v>369</v>
      </c>
      <c r="G22" s="285">
        <v>9000000</v>
      </c>
      <c r="H22" s="287">
        <v>23.5</v>
      </c>
      <c r="I22" s="287">
        <v>0</v>
      </c>
      <c r="J22" s="287">
        <f t="shared" si="3"/>
        <v>23.5</v>
      </c>
      <c r="K22" s="242">
        <f t="shared" si="0"/>
        <v>9000000</v>
      </c>
      <c r="L22" s="297"/>
      <c r="M22" s="162">
        <f t="shared" si="4"/>
        <v>9000000</v>
      </c>
      <c r="N22" s="51"/>
      <c r="O22" s="50">
        <v>1000000</v>
      </c>
      <c r="P22" s="159">
        <v>500000</v>
      </c>
      <c r="Q22" s="164">
        <f t="shared" si="5"/>
        <v>10500000</v>
      </c>
      <c r="R22" s="165"/>
      <c r="S22" s="165"/>
      <c r="T22" s="165"/>
      <c r="U22" s="159">
        <f t="shared" si="6"/>
        <v>0</v>
      </c>
      <c r="V22" s="159">
        <v>0</v>
      </c>
      <c r="W22" s="50">
        <f t="shared" si="7"/>
        <v>0</v>
      </c>
      <c r="X22" s="50">
        <f t="shared" si="1"/>
        <v>11000000</v>
      </c>
      <c r="Y22" s="159">
        <f t="shared" si="8"/>
        <v>11000000</v>
      </c>
      <c r="Z22" s="50">
        <f t="shared" si="2"/>
        <v>0</v>
      </c>
      <c r="AA22" s="290">
        <f t="shared" si="9"/>
        <v>0</v>
      </c>
      <c r="AB22" s="159"/>
      <c r="AC22" s="166"/>
      <c r="AD22" s="164">
        <f t="shared" si="12"/>
        <v>10500000</v>
      </c>
      <c r="AE22" s="165">
        <f>(MIN(VALUE($G22),[1]Assu!$E$3))*AE$9</f>
        <v>2115000</v>
      </c>
      <c r="AF22" s="165">
        <f>(MIN(VALUE($G22),[1]Assu!$E$3))*AF$9</f>
        <v>3059999.9999999995</v>
      </c>
      <c r="AG22" s="165">
        <f t="shared" si="10"/>
        <v>875000</v>
      </c>
      <c r="AH22" s="165">
        <f t="shared" si="11"/>
        <v>0</v>
      </c>
      <c r="AI22" s="48"/>
      <c r="AJ22" s="48"/>
      <c r="AK22" s="48" t="s">
        <v>378</v>
      </c>
      <c r="AL22" s="48" t="s">
        <v>381</v>
      </c>
      <c r="AM22" s="48" t="s">
        <v>301</v>
      </c>
      <c r="AN22" s="123" t="s">
        <v>370</v>
      </c>
      <c r="AO22" s="123" t="s">
        <v>371</v>
      </c>
      <c r="AP22" s="168" t="s">
        <v>160</v>
      </c>
    </row>
    <row r="23" spans="1:46" s="18" customFormat="1">
      <c r="A23" s="156">
        <v>14</v>
      </c>
      <c r="B23" s="288" t="s">
        <v>303</v>
      </c>
      <c r="C23" s="245" t="s">
        <v>165</v>
      </c>
      <c r="D23" s="47" t="s">
        <v>368</v>
      </c>
      <c r="E23" s="124">
        <v>42254</v>
      </c>
      <c r="F23" s="291" t="s">
        <v>304</v>
      </c>
      <c r="G23" s="290">
        <v>8300000</v>
      </c>
      <c r="H23" s="287">
        <v>23.5</v>
      </c>
      <c r="I23" s="287">
        <v>0</v>
      </c>
      <c r="J23" s="287">
        <f t="shared" si="3"/>
        <v>23.5</v>
      </c>
      <c r="K23" s="242">
        <f t="shared" si="0"/>
        <v>8300000</v>
      </c>
      <c r="L23" s="50"/>
      <c r="M23" s="162">
        <f t="shared" si="4"/>
        <v>8300000</v>
      </c>
      <c r="N23" s="248">
        <v>964233</v>
      </c>
      <c r="O23" s="50">
        <v>1000000</v>
      </c>
      <c r="P23" s="50"/>
      <c r="Q23" s="164">
        <f t="shared" si="5"/>
        <v>10264233</v>
      </c>
      <c r="R23" s="165">
        <f>(MIN(VALUE($G23),[1]Assu!$E$3))*R$9</f>
        <v>664000</v>
      </c>
      <c r="S23" s="165">
        <f>(MIN(VALUE($G23),[1]Assu!$E$4))*S$9</f>
        <v>124500</v>
      </c>
      <c r="T23" s="165">
        <f>(MIN(VALUE($G23),[1]Assu!$E$5))*T$9</f>
        <v>83000</v>
      </c>
      <c r="U23" s="159">
        <f t="shared" si="6"/>
        <v>871500</v>
      </c>
      <c r="V23" s="50">
        <v>0</v>
      </c>
      <c r="W23" s="50">
        <f t="shared" si="7"/>
        <v>0</v>
      </c>
      <c r="X23" s="50">
        <f t="shared" si="1"/>
        <v>11000000</v>
      </c>
      <c r="Y23" s="159">
        <f t="shared" si="8"/>
        <v>11000000</v>
      </c>
      <c r="Z23" s="50">
        <f t="shared" si="2"/>
        <v>0</v>
      </c>
      <c r="AA23" s="290">
        <f t="shared" si="9"/>
        <v>0</v>
      </c>
      <c r="AB23" s="51"/>
      <c r="AC23" s="51"/>
      <c r="AD23" s="164">
        <f t="shared" si="12"/>
        <v>9392733</v>
      </c>
      <c r="AE23" s="165">
        <f>(MIN(VALUE($G23),[1]Assu!$E$3))*AE$9</f>
        <v>1950500</v>
      </c>
      <c r="AF23" s="165">
        <f>(MIN(VALUE($G23),[1]Assu!$E$3))*AF$9</f>
        <v>2821999.9999999995</v>
      </c>
      <c r="AG23" s="165">
        <f t="shared" si="10"/>
        <v>855352.75</v>
      </c>
      <c r="AH23" s="165">
        <f t="shared" si="11"/>
        <v>0</v>
      </c>
      <c r="AI23" s="48"/>
      <c r="AJ23" s="48"/>
      <c r="AK23" s="48" t="s">
        <v>378</v>
      </c>
      <c r="AL23" s="48" t="s">
        <v>381</v>
      </c>
      <c r="AM23" s="48" t="s">
        <v>301</v>
      </c>
      <c r="AN23" s="48" t="s">
        <v>305</v>
      </c>
      <c r="AO23" s="48" t="s">
        <v>141</v>
      </c>
      <c r="AP23" s="48" t="s">
        <v>160</v>
      </c>
      <c r="AT23" s="23"/>
    </row>
    <row r="24" spans="1:46">
      <c r="A24" s="156">
        <v>15</v>
      </c>
      <c r="B24" s="157" t="s">
        <v>118</v>
      </c>
      <c r="C24" s="245" t="s">
        <v>165</v>
      </c>
      <c r="D24" s="47" t="s">
        <v>192</v>
      </c>
      <c r="E24" s="124">
        <v>41974</v>
      </c>
      <c r="F24" s="247" t="s">
        <v>119</v>
      </c>
      <c r="G24" s="322">
        <v>16500000</v>
      </c>
      <c r="H24" s="287">
        <v>23.5</v>
      </c>
      <c r="I24" s="287">
        <v>0</v>
      </c>
      <c r="J24" s="287">
        <f t="shared" si="3"/>
        <v>23.5</v>
      </c>
      <c r="K24" s="242">
        <f t="shared" si="0"/>
        <v>16499999.999999998</v>
      </c>
      <c r="L24" s="292"/>
      <c r="M24" s="162">
        <f t="shared" si="4"/>
        <v>16499999.999999998</v>
      </c>
      <c r="N24" s="51"/>
      <c r="O24" s="50">
        <v>1000000</v>
      </c>
      <c r="P24" s="50"/>
      <c r="Q24" s="164">
        <f t="shared" si="5"/>
        <v>17500000</v>
      </c>
      <c r="R24" s="165">
        <f>(MIN(VALUE($G24),[1]Assu!$E$3))*R$9</f>
        <v>1320000</v>
      </c>
      <c r="S24" s="165">
        <f>(MIN(VALUE($G24),[1]Assu!$E$4))*S$9</f>
        <v>247500</v>
      </c>
      <c r="T24" s="165">
        <f>(MIN(VALUE($G24),[1]Assu!$E$5))*T$9</f>
        <v>165000</v>
      </c>
      <c r="U24" s="159">
        <f t="shared" si="6"/>
        <v>1732500</v>
      </c>
      <c r="V24" s="159">
        <v>0</v>
      </c>
      <c r="W24" s="50">
        <f t="shared" si="7"/>
        <v>0</v>
      </c>
      <c r="X24" s="50">
        <f t="shared" si="1"/>
        <v>11000000</v>
      </c>
      <c r="Y24" s="159">
        <f t="shared" si="8"/>
        <v>11000000</v>
      </c>
      <c r="Z24" s="50">
        <f t="shared" si="2"/>
        <v>4767500</v>
      </c>
      <c r="AA24" s="290">
        <f t="shared" si="9"/>
        <v>238375</v>
      </c>
      <c r="AB24" s="159"/>
      <c r="AC24" s="166"/>
      <c r="AD24" s="164">
        <f t="shared" si="12"/>
        <v>15529125</v>
      </c>
      <c r="AE24" s="165">
        <f>(MIN(VALUE($G24),[1]Assu!$E$3))*AE$9</f>
        <v>3877500</v>
      </c>
      <c r="AF24" s="165">
        <f>(MIN(VALUE($G24),[1]Assu!$E$3))*AF$9</f>
        <v>5609999.9999999991</v>
      </c>
      <c r="AG24" s="165">
        <f t="shared" si="10"/>
        <v>1458333.3333333333</v>
      </c>
      <c r="AH24" s="165">
        <f t="shared" si="11"/>
        <v>238375</v>
      </c>
      <c r="AI24" s="48"/>
      <c r="AJ24" s="48"/>
      <c r="AK24" s="48" t="s">
        <v>378</v>
      </c>
      <c r="AL24" s="48"/>
      <c r="AM24" s="48" t="s">
        <v>301</v>
      </c>
      <c r="AN24" s="123" t="s">
        <v>228</v>
      </c>
      <c r="AO24" s="168" t="s">
        <v>141</v>
      </c>
      <c r="AP24" s="168" t="s">
        <v>160</v>
      </c>
    </row>
    <row r="25" spans="1:46">
      <c r="A25" s="156">
        <v>16</v>
      </c>
      <c r="B25" s="243" t="s">
        <v>291</v>
      </c>
      <c r="C25" s="245" t="s">
        <v>165</v>
      </c>
      <c r="D25" s="227" t="s">
        <v>197</v>
      </c>
      <c r="E25" s="124">
        <v>43804</v>
      </c>
      <c r="F25" s="246" t="s">
        <v>306</v>
      </c>
      <c r="G25" s="285">
        <v>7500000</v>
      </c>
      <c r="H25" s="287">
        <v>23.5</v>
      </c>
      <c r="I25" s="287">
        <v>0</v>
      </c>
      <c r="J25" s="287">
        <f t="shared" si="3"/>
        <v>23.5</v>
      </c>
      <c r="K25" s="242">
        <f t="shared" si="0"/>
        <v>7500000</v>
      </c>
      <c r="L25" s="50"/>
      <c r="M25" s="162">
        <f t="shared" si="4"/>
        <v>7500000</v>
      </c>
      <c r="N25" s="51"/>
      <c r="O25" s="50">
        <v>1000000</v>
      </c>
      <c r="P25" s="50"/>
      <c r="Q25" s="164">
        <f t="shared" si="5"/>
        <v>8500000</v>
      </c>
      <c r="R25" s="165">
        <f>(MIN(VALUE($G25),[1]Assu!$E$3))*R$9</f>
        <v>600000</v>
      </c>
      <c r="S25" s="165">
        <f>(MIN(VALUE($G25),[1]Assu!$E$4))*S$9</f>
        <v>112500</v>
      </c>
      <c r="T25" s="165">
        <f>(MIN(VALUE($G25),[1]Assu!$E$5))*T$9</f>
        <v>75000</v>
      </c>
      <c r="U25" s="159">
        <f t="shared" si="6"/>
        <v>787500</v>
      </c>
      <c r="V25" s="159">
        <v>0</v>
      </c>
      <c r="W25" s="50">
        <f t="shared" si="7"/>
        <v>0</v>
      </c>
      <c r="X25" s="50">
        <f t="shared" si="1"/>
        <v>11000000</v>
      </c>
      <c r="Y25" s="159">
        <f t="shared" si="8"/>
        <v>11000000</v>
      </c>
      <c r="Z25" s="50">
        <f t="shared" si="2"/>
        <v>0</v>
      </c>
      <c r="AA25" s="290">
        <f t="shared" si="9"/>
        <v>0</v>
      </c>
      <c r="AB25" s="159"/>
      <c r="AC25" s="166"/>
      <c r="AD25" s="164">
        <f t="shared" si="12"/>
        <v>7712500</v>
      </c>
      <c r="AE25" s="165">
        <f>(MIN(VALUE($G25),[1]Assu!$E$3))*AE$9</f>
        <v>1762500</v>
      </c>
      <c r="AF25" s="165">
        <f>(MIN(VALUE($G25),[1]Assu!$E$3))*AF$9</f>
        <v>2549999.9999999995</v>
      </c>
      <c r="AG25" s="165">
        <f t="shared" si="10"/>
        <v>708333.33333333337</v>
      </c>
      <c r="AH25" s="165">
        <f t="shared" si="11"/>
        <v>0</v>
      </c>
      <c r="AI25" s="48"/>
      <c r="AJ25" s="48"/>
      <c r="AK25" s="48" t="s">
        <v>378</v>
      </c>
      <c r="AL25" s="48"/>
      <c r="AM25" s="48" t="s">
        <v>301</v>
      </c>
      <c r="AN25" s="123" t="s">
        <v>292</v>
      </c>
      <c r="AO25" s="123" t="s">
        <v>293</v>
      </c>
      <c r="AP25" s="168" t="s">
        <v>160</v>
      </c>
    </row>
    <row r="26" spans="1:46">
      <c r="A26" s="156">
        <v>17</v>
      </c>
      <c r="B26" s="243" t="s">
        <v>199</v>
      </c>
      <c r="C26" s="245" t="s">
        <v>165</v>
      </c>
      <c r="D26" s="227" t="s">
        <v>197</v>
      </c>
      <c r="E26" s="124">
        <v>43133</v>
      </c>
      <c r="F26" s="236" t="s">
        <v>198</v>
      </c>
      <c r="G26" s="239">
        <v>8850000</v>
      </c>
      <c r="H26" s="287">
        <v>23.5</v>
      </c>
      <c r="I26" s="287">
        <v>0</v>
      </c>
      <c r="J26" s="287">
        <f t="shared" si="3"/>
        <v>23.5</v>
      </c>
      <c r="K26" s="242">
        <f t="shared" si="0"/>
        <v>8850000</v>
      </c>
      <c r="L26" s="292">
        <f>800000+1200000+2000000</f>
        <v>4000000</v>
      </c>
      <c r="M26" s="162">
        <f t="shared" si="4"/>
        <v>12850000</v>
      </c>
      <c r="N26" s="248">
        <v>4272938</v>
      </c>
      <c r="O26" s="50">
        <v>1000000</v>
      </c>
      <c r="P26" s="50"/>
      <c r="Q26" s="164">
        <f t="shared" si="5"/>
        <v>18122938</v>
      </c>
      <c r="R26" s="165">
        <f>(MIN(VALUE($G26),[1]Assu!$E$3))*R$9</f>
        <v>708000</v>
      </c>
      <c r="S26" s="165">
        <f>(MIN(VALUE($G26),[1]Assu!$E$4))*S$9</f>
        <v>132750</v>
      </c>
      <c r="T26" s="165">
        <f>(MIN(VALUE($G26),[1]Assu!$E$5))*T$9</f>
        <v>88500</v>
      </c>
      <c r="U26" s="159">
        <f t="shared" si="6"/>
        <v>929250</v>
      </c>
      <c r="V26" s="159">
        <v>0</v>
      </c>
      <c r="W26" s="50">
        <f t="shared" si="7"/>
        <v>0</v>
      </c>
      <c r="X26" s="50">
        <f t="shared" si="1"/>
        <v>11000000</v>
      </c>
      <c r="Y26" s="159">
        <f t="shared" si="8"/>
        <v>11000000</v>
      </c>
      <c r="Z26" s="50">
        <f t="shared" si="2"/>
        <v>6193688</v>
      </c>
      <c r="AA26" s="290">
        <f t="shared" si="9"/>
        <v>369368.80000000005</v>
      </c>
      <c r="AB26" s="159"/>
      <c r="AC26" s="166"/>
      <c r="AD26" s="164">
        <f t="shared" si="12"/>
        <v>16824319.199999999</v>
      </c>
      <c r="AE26" s="165">
        <f>(MIN(VALUE($G26),[1]Assu!$E$3))*AE$9</f>
        <v>2079749.9999999998</v>
      </c>
      <c r="AF26" s="165">
        <f>(MIN(VALUE($G26),[1]Assu!$E$3))*AF$9</f>
        <v>3008999.9999999995</v>
      </c>
      <c r="AG26" s="165">
        <f t="shared" si="10"/>
        <v>1510244.8333333333</v>
      </c>
      <c r="AH26" s="165">
        <f t="shared" si="11"/>
        <v>369368.80000000005</v>
      </c>
      <c r="AI26" s="48" t="s">
        <v>377</v>
      </c>
      <c r="AJ26" s="48" t="s">
        <v>384</v>
      </c>
      <c r="AK26" s="48" t="s">
        <v>378</v>
      </c>
      <c r="AL26" s="48"/>
      <c r="AM26" s="48" t="s">
        <v>301</v>
      </c>
      <c r="AN26" s="123" t="s">
        <v>222</v>
      </c>
      <c r="AO26" s="168" t="s">
        <v>200</v>
      </c>
      <c r="AP26" s="168" t="s">
        <v>160</v>
      </c>
    </row>
    <row r="27" spans="1:46">
      <c r="A27" s="156">
        <v>18</v>
      </c>
      <c r="B27" s="243" t="s">
        <v>287</v>
      </c>
      <c r="C27" s="245" t="s">
        <v>165</v>
      </c>
      <c r="D27" s="227" t="s">
        <v>197</v>
      </c>
      <c r="E27" s="124">
        <v>43725</v>
      </c>
      <c r="F27" s="246" t="s">
        <v>290</v>
      </c>
      <c r="G27" s="285">
        <v>7000000</v>
      </c>
      <c r="H27" s="287">
        <v>23.5</v>
      </c>
      <c r="I27" s="287">
        <v>0</v>
      </c>
      <c r="J27" s="287">
        <f>H27+I27</f>
        <v>23.5</v>
      </c>
      <c r="K27" s="242">
        <f t="shared" si="0"/>
        <v>7000000</v>
      </c>
      <c r="L27" s="50">
        <f>650000+750000</f>
        <v>1400000</v>
      </c>
      <c r="M27" s="162">
        <f t="shared" si="4"/>
        <v>8400000</v>
      </c>
      <c r="N27" s="248">
        <v>0</v>
      </c>
      <c r="O27" s="50">
        <v>1000000</v>
      </c>
      <c r="P27" s="50"/>
      <c r="Q27" s="164">
        <f t="shared" si="5"/>
        <v>9400000</v>
      </c>
      <c r="R27" s="165">
        <f>(MIN(VALUE($G27),[1]Assu!$E$3))*R$9</f>
        <v>560000</v>
      </c>
      <c r="S27" s="165">
        <f>(MIN(VALUE($G27),[1]Assu!$E$4))*S$9</f>
        <v>105000</v>
      </c>
      <c r="T27" s="165">
        <f>(MIN(VALUE($G27),[1]Assu!$E$5))*T$9</f>
        <v>70000</v>
      </c>
      <c r="U27" s="159">
        <f t="shared" si="6"/>
        <v>735000</v>
      </c>
      <c r="V27" s="159">
        <v>0</v>
      </c>
      <c r="W27" s="50">
        <f t="shared" si="7"/>
        <v>0</v>
      </c>
      <c r="X27" s="50">
        <f t="shared" si="1"/>
        <v>11000000</v>
      </c>
      <c r="Y27" s="159">
        <f t="shared" si="8"/>
        <v>11000000</v>
      </c>
      <c r="Z27" s="50">
        <f t="shared" si="2"/>
        <v>0</v>
      </c>
      <c r="AA27" s="290">
        <f t="shared" si="9"/>
        <v>0</v>
      </c>
      <c r="AB27" s="159"/>
      <c r="AC27" s="166"/>
      <c r="AD27" s="164">
        <f t="shared" si="12"/>
        <v>8665000</v>
      </c>
      <c r="AE27" s="165">
        <f>(MIN(VALUE($G27),[1]Assu!$E$3))*AE$9</f>
        <v>1645000</v>
      </c>
      <c r="AF27" s="165">
        <f>(MIN(VALUE($G27),[1]Assu!$E$3))*AF$9</f>
        <v>2380000</v>
      </c>
      <c r="AG27" s="165">
        <f t="shared" si="10"/>
        <v>783333.33333333337</v>
      </c>
      <c r="AH27" s="165">
        <f t="shared" si="11"/>
        <v>0</v>
      </c>
      <c r="AI27" s="48" t="s">
        <v>377</v>
      </c>
      <c r="AJ27" s="48" t="s">
        <v>384</v>
      </c>
      <c r="AK27" s="48" t="s">
        <v>378</v>
      </c>
      <c r="AL27" s="48"/>
      <c r="AM27" s="48" t="s">
        <v>301</v>
      </c>
      <c r="AN27" s="123" t="s">
        <v>289</v>
      </c>
      <c r="AO27" s="123" t="s">
        <v>288</v>
      </c>
      <c r="AP27" s="168" t="s">
        <v>160</v>
      </c>
    </row>
    <row r="28" spans="1:46">
      <c r="A28" s="156">
        <v>19</v>
      </c>
      <c r="B28" s="243" t="s">
        <v>211</v>
      </c>
      <c r="C28" s="245" t="s">
        <v>165</v>
      </c>
      <c r="D28" s="227" t="s">
        <v>368</v>
      </c>
      <c r="E28" s="124">
        <v>43374</v>
      </c>
      <c r="F28" s="246" t="s">
        <v>212</v>
      </c>
      <c r="G28" s="285">
        <v>8000000</v>
      </c>
      <c r="H28" s="287">
        <v>23.5</v>
      </c>
      <c r="I28" s="287">
        <v>0</v>
      </c>
      <c r="J28" s="287">
        <f t="shared" si="3"/>
        <v>23.5</v>
      </c>
      <c r="K28" s="242">
        <f t="shared" si="0"/>
        <v>7999999.9999999991</v>
      </c>
      <c r="L28" s="292">
        <f>1800000+1200000</f>
        <v>3000000</v>
      </c>
      <c r="M28" s="162">
        <f t="shared" si="4"/>
        <v>11000000</v>
      </c>
      <c r="N28" s="248">
        <v>9520615</v>
      </c>
      <c r="O28" s="50">
        <v>1000000</v>
      </c>
      <c r="P28" s="50"/>
      <c r="Q28" s="164">
        <f t="shared" si="5"/>
        <v>21520615</v>
      </c>
      <c r="R28" s="165">
        <f>(MIN(VALUE($G28),[1]Assu!$E$3))*R$9</f>
        <v>640000</v>
      </c>
      <c r="S28" s="165">
        <f>(MIN(VALUE($G28),[1]Assu!$E$4))*S$9</f>
        <v>120000</v>
      </c>
      <c r="T28" s="165">
        <f>(MIN(VALUE($G28),[1]Assu!$E$5))*T$9</f>
        <v>80000</v>
      </c>
      <c r="U28" s="159">
        <f t="shared" si="6"/>
        <v>840000</v>
      </c>
      <c r="V28" s="159">
        <v>1</v>
      </c>
      <c r="W28" s="50">
        <f t="shared" si="7"/>
        <v>4400000</v>
      </c>
      <c r="X28" s="50">
        <f t="shared" si="1"/>
        <v>11000000</v>
      </c>
      <c r="Y28" s="159">
        <f t="shared" si="8"/>
        <v>15400000</v>
      </c>
      <c r="Z28" s="50">
        <f t="shared" si="2"/>
        <v>5280615</v>
      </c>
      <c r="AA28" s="290">
        <f t="shared" si="9"/>
        <v>278061.5</v>
      </c>
      <c r="AB28" s="159"/>
      <c r="AC28" s="166"/>
      <c r="AD28" s="164">
        <f t="shared" si="12"/>
        <v>20402553.5</v>
      </c>
      <c r="AE28" s="165">
        <f>(MIN(VALUE($G28),[1]Assu!$E$3))*AE$9</f>
        <v>1880000</v>
      </c>
      <c r="AF28" s="165">
        <f>(MIN(VALUE($G28),[1]Assu!$E$3))*AF$9</f>
        <v>2719999.9999999995</v>
      </c>
      <c r="AG28" s="165">
        <f t="shared" si="10"/>
        <v>1793384.5833333333</v>
      </c>
      <c r="AH28" s="165">
        <f t="shared" si="11"/>
        <v>278061.5</v>
      </c>
      <c r="AI28" s="48" t="s">
        <v>377</v>
      </c>
      <c r="AJ28" s="48" t="s">
        <v>385</v>
      </c>
      <c r="AK28" s="48" t="s">
        <v>378</v>
      </c>
      <c r="AL28" s="48"/>
      <c r="AM28" s="48" t="s">
        <v>301</v>
      </c>
      <c r="AN28" s="123" t="s">
        <v>213</v>
      </c>
      <c r="AO28" s="123" t="s">
        <v>214</v>
      </c>
      <c r="AP28" s="168" t="s">
        <v>160</v>
      </c>
    </row>
    <row r="29" spans="1:46">
      <c r="A29" s="156">
        <v>20</v>
      </c>
      <c r="B29" s="243" t="s">
        <v>317</v>
      </c>
      <c r="C29" s="245" t="s">
        <v>165</v>
      </c>
      <c r="D29" s="227" t="s">
        <v>368</v>
      </c>
      <c r="E29" s="124">
        <v>44074</v>
      </c>
      <c r="F29" s="246" t="s">
        <v>321</v>
      </c>
      <c r="G29" s="285">
        <v>7500000</v>
      </c>
      <c r="H29" s="287">
        <v>23.5</v>
      </c>
      <c r="I29" s="287">
        <v>0</v>
      </c>
      <c r="J29" s="287">
        <f t="shared" si="3"/>
        <v>23.5</v>
      </c>
      <c r="K29" s="242">
        <f t="shared" si="0"/>
        <v>7500000</v>
      </c>
      <c r="L29" s="50">
        <f>1800000</f>
        <v>1800000</v>
      </c>
      <c r="M29" s="162">
        <f t="shared" si="4"/>
        <v>9300000</v>
      </c>
      <c r="N29" s="248">
        <v>6397481</v>
      </c>
      <c r="O29" s="50">
        <v>1000000</v>
      </c>
      <c r="P29" s="50"/>
      <c r="Q29" s="164">
        <f t="shared" si="5"/>
        <v>16697481</v>
      </c>
      <c r="R29" s="165">
        <f>(MIN(VALUE($G29),[1]Assu!$E$3))*R$9</f>
        <v>600000</v>
      </c>
      <c r="S29" s="165">
        <f>(MIN(VALUE($G29),[1]Assu!$E$4))*S$9</f>
        <v>112500</v>
      </c>
      <c r="T29" s="165">
        <f>(MIN(VALUE($G29),[1]Assu!$E$5))*T$9</f>
        <v>75000</v>
      </c>
      <c r="U29" s="159">
        <f t="shared" si="6"/>
        <v>787500</v>
      </c>
      <c r="V29" s="159">
        <v>0</v>
      </c>
      <c r="W29" s="50">
        <f t="shared" si="7"/>
        <v>0</v>
      </c>
      <c r="X29" s="50">
        <f t="shared" si="1"/>
        <v>11000000</v>
      </c>
      <c r="Y29" s="159">
        <f t="shared" si="8"/>
        <v>11000000</v>
      </c>
      <c r="Z29" s="50">
        <f t="shared" si="2"/>
        <v>4909981</v>
      </c>
      <c r="AA29" s="290">
        <f t="shared" si="9"/>
        <v>245499.05000000002</v>
      </c>
      <c r="AB29" s="159"/>
      <c r="AC29" s="166"/>
      <c r="AD29" s="164">
        <f t="shared" si="12"/>
        <v>15664481.949999999</v>
      </c>
      <c r="AE29" s="165">
        <f>(MIN(VALUE($G29),[1]Assu!$E$3))*AE$9</f>
        <v>1762500</v>
      </c>
      <c r="AF29" s="165">
        <f>(MIN(VALUE($G29),[1]Assu!$E$3))*AF$9</f>
        <v>2549999.9999999995</v>
      </c>
      <c r="AG29" s="165">
        <f t="shared" si="10"/>
        <v>1391456.75</v>
      </c>
      <c r="AH29" s="165">
        <f t="shared" si="11"/>
        <v>245499.05000000002</v>
      </c>
      <c r="AI29" s="48" t="s">
        <v>377</v>
      </c>
      <c r="AJ29" s="48" t="s">
        <v>385</v>
      </c>
      <c r="AK29" s="48" t="s">
        <v>378</v>
      </c>
      <c r="AL29" s="48"/>
      <c r="AM29" s="48" t="s">
        <v>301</v>
      </c>
      <c r="AN29" s="123" t="s">
        <v>318</v>
      </c>
      <c r="AO29" s="123" t="s">
        <v>319</v>
      </c>
      <c r="AP29" s="168" t="s">
        <v>160</v>
      </c>
    </row>
    <row r="30" spans="1:46">
      <c r="A30" s="156">
        <v>21</v>
      </c>
      <c r="B30" s="243"/>
      <c r="C30" s="47"/>
      <c r="D30" s="47"/>
      <c r="E30" s="124"/>
      <c r="F30" s="171"/>
      <c r="G30" s="239">
        <v>0</v>
      </c>
      <c r="H30" s="287">
        <v>23.5</v>
      </c>
      <c r="I30" s="287">
        <v>0</v>
      </c>
      <c r="J30" s="287">
        <f t="shared" si="3"/>
        <v>23.5</v>
      </c>
      <c r="K30" s="242">
        <f t="shared" si="0"/>
        <v>0</v>
      </c>
      <c r="L30" s="161"/>
      <c r="M30" s="162">
        <f t="shared" si="4"/>
        <v>0</v>
      </c>
      <c r="N30" s="159"/>
      <c r="O30" s="50"/>
      <c r="P30" s="50"/>
      <c r="Q30" s="164">
        <f t="shared" si="5"/>
        <v>0</v>
      </c>
      <c r="R30" s="165">
        <f>(MIN(VALUE($G30),[1]Assu!$E$3))*R$9</f>
        <v>0</v>
      </c>
      <c r="S30" s="165">
        <f>(MIN(VALUE($G30),[1]Assu!$E$4))*S$9</f>
        <v>0</v>
      </c>
      <c r="T30" s="165">
        <f>(MIN(VALUE($G30),[1]Assu!$E$5))*T$9</f>
        <v>0</v>
      </c>
      <c r="U30" s="159">
        <f t="shared" si="6"/>
        <v>0</v>
      </c>
      <c r="V30" s="159">
        <v>0</v>
      </c>
      <c r="W30" s="50">
        <f t="shared" si="7"/>
        <v>0</v>
      </c>
      <c r="X30" s="50">
        <f t="shared" si="1"/>
        <v>0</v>
      </c>
      <c r="Y30" s="159">
        <f t="shared" si="8"/>
        <v>0</v>
      </c>
      <c r="Z30" s="50">
        <f t="shared" si="2"/>
        <v>0</v>
      </c>
      <c r="AA30" s="290">
        <f t="shared" si="9"/>
        <v>0</v>
      </c>
      <c r="AB30" s="159"/>
      <c r="AC30" s="166"/>
      <c r="AD30" s="164">
        <f t="shared" si="12"/>
        <v>0</v>
      </c>
      <c r="AE30" s="165">
        <f>(MIN(VALUE($G30),[1]Assu!$E$3))*AE$9</f>
        <v>0</v>
      </c>
      <c r="AF30" s="165">
        <f>(MIN(VALUE($G30),[1]Assu!$E$3))*AF$9</f>
        <v>0</v>
      </c>
      <c r="AG30" s="165">
        <f t="shared" si="10"/>
        <v>0</v>
      </c>
      <c r="AH30" s="165">
        <f t="shared" si="11"/>
        <v>0</v>
      </c>
      <c r="AI30" s="48"/>
      <c r="AJ30" s="48"/>
      <c r="AK30" s="48"/>
      <c r="AL30" s="48"/>
      <c r="AM30" s="52"/>
      <c r="AN30" s="123"/>
      <c r="AO30" s="123"/>
      <c r="AP30" s="168"/>
    </row>
    <row r="31" spans="1:46">
      <c r="A31" s="156">
        <v>22</v>
      </c>
      <c r="B31" s="157"/>
      <c r="C31" s="47"/>
      <c r="D31" s="47"/>
      <c r="E31" s="124"/>
      <c r="F31" s="247"/>
      <c r="G31" s="239">
        <v>0</v>
      </c>
      <c r="H31" s="287">
        <v>23.5</v>
      </c>
      <c r="I31" s="287">
        <v>0</v>
      </c>
      <c r="J31" s="287">
        <f t="shared" si="3"/>
        <v>23.5</v>
      </c>
      <c r="K31" s="242">
        <f t="shared" si="0"/>
        <v>0</v>
      </c>
      <c r="L31" s="161"/>
      <c r="M31" s="162">
        <f t="shared" si="4"/>
        <v>0</v>
      </c>
      <c r="N31" s="159"/>
      <c r="O31" s="50"/>
      <c r="P31" s="50"/>
      <c r="Q31" s="164">
        <f t="shared" si="5"/>
        <v>0</v>
      </c>
      <c r="R31" s="165">
        <f>(MIN(VALUE($G31),[1]Assu!$E$3))*R$9</f>
        <v>0</v>
      </c>
      <c r="S31" s="165">
        <f>(MIN(VALUE($G31),[1]Assu!$E$4))*S$9</f>
        <v>0</v>
      </c>
      <c r="T31" s="165">
        <f>(MIN(VALUE($G31),[1]Assu!$E$5))*T$9</f>
        <v>0</v>
      </c>
      <c r="U31" s="159">
        <f t="shared" si="6"/>
        <v>0</v>
      </c>
      <c r="V31" s="159">
        <v>0</v>
      </c>
      <c r="W31" s="50">
        <f t="shared" si="7"/>
        <v>0</v>
      </c>
      <c r="X31" s="50">
        <f t="shared" si="1"/>
        <v>0</v>
      </c>
      <c r="Y31" s="159">
        <f t="shared" si="8"/>
        <v>0</v>
      </c>
      <c r="Z31" s="50">
        <f t="shared" si="2"/>
        <v>0</v>
      </c>
      <c r="AA31" s="290">
        <f t="shared" si="9"/>
        <v>0</v>
      </c>
      <c r="AB31" s="159"/>
      <c r="AC31" s="166"/>
      <c r="AD31" s="164">
        <f t="shared" si="12"/>
        <v>0</v>
      </c>
      <c r="AE31" s="165">
        <f>(MIN(VALUE($G31),[1]Assu!$E$3))*AE$9</f>
        <v>0</v>
      </c>
      <c r="AF31" s="165">
        <f>(MIN(VALUE($G31),[1]Assu!$E$3))*AF$9</f>
        <v>0</v>
      </c>
      <c r="AG31" s="165">
        <f t="shared" si="10"/>
        <v>0</v>
      </c>
      <c r="AH31" s="165">
        <f t="shared" si="11"/>
        <v>0</v>
      </c>
      <c r="AI31" s="48"/>
      <c r="AJ31" s="48"/>
      <c r="AK31" s="48"/>
      <c r="AL31" s="48"/>
      <c r="AM31" s="167"/>
      <c r="AN31" s="123"/>
      <c r="AO31" s="168"/>
      <c r="AP31" s="168"/>
    </row>
    <row r="32" spans="1:46">
      <c r="A32" s="156"/>
      <c r="B32" s="157"/>
      <c r="C32" s="47"/>
      <c r="D32" s="47"/>
      <c r="E32" s="152"/>
      <c r="F32" s="171"/>
      <c r="G32" s="239"/>
      <c r="H32" s="287"/>
      <c r="I32" s="287"/>
      <c r="J32" s="287"/>
      <c r="K32" s="161"/>
      <c r="L32" s="161"/>
      <c r="M32" s="162"/>
      <c r="N32" s="159"/>
      <c r="O32" s="50"/>
      <c r="P32" s="50"/>
      <c r="Q32" s="164"/>
      <c r="R32" s="165"/>
      <c r="S32" s="165"/>
      <c r="T32" s="165"/>
      <c r="U32" s="159"/>
      <c r="V32" s="159"/>
      <c r="W32" s="159"/>
      <c r="X32" s="159"/>
      <c r="Y32" s="159"/>
      <c r="Z32" s="159"/>
      <c r="AA32" s="164"/>
      <c r="AB32" s="159"/>
      <c r="AC32" s="166"/>
      <c r="AD32" s="164"/>
      <c r="AE32" s="165"/>
      <c r="AF32" s="165"/>
      <c r="AG32" s="165"/>
      <c r="AH32" s="165"/>
      <c r="AI32" s="48"/>
      <c r="AJ32" s="153"/>
      <c r="AK32" s="153"/>
      <c r="AL32" s="153"/>
      <c r="AM32" s="167"/>
      <c r="AN32" s="168"/>
      <c r="AO32" s="168"/>
      <c r="AP32" s="168"/>
    </row>
    <row r="33" spans="1:42">
      <c r="A33" s="156"/>
      <c r="B33" s="157"/>
      <c r="C33" s="152"/>
      <c r="D33" s="152"/>
      <c r="E33" s="152"/>
      <c r="F33" s="171"/>
      <c r="G33" s="239"/>
      <c r="H33" s="160"/>
      <c r="I33" s="160"/>
      <c r="J33" s="160"/>
      <c r="K33" s="161"/>
      <c r="L33" s="161"/>
      <c r="M33" s="180"/>
      <c r="N33" s="159"/>
      <c r="O33" s="50"/>
      <c r="P33" s="163"/>
      <c r="Q33" s="164">
        <f>SUM(M33:P33)</f>
        <v>0</v>
      </c>
      <c r="R33" s="165">
        <f>(MIN(VALUE($G33),Assu!$E$3))*R$9</f>
        <v>0</v>
      </c>
      <c r="S33" s="165">
        <f>(MIN(VALUE($G33),Assu!$E$3))*S$9</f>
        <v>0</v>
      </c>
      <c r="T33" s="165">
        <f>(MIN(VALUE($G33),Assu!$E$5))*T$9</f>
        <v>0</v>
      </c>
      <c r="U33" s="159"/>
      <c r="V33" s="159"/>
      <c r="W33" s="159"/>
      <c r="X33" s="159"/>
      <c r="Y33" s="159"/>
      <c r="Z33" s="159"/>
      <c r="AA33" s="159"/>
      <c r="AB33" s="159"/>
      <c r="AC33" s="166"/>
      <c r="AD33" s="164">
        <f t="shared" ref="AD33" si="13">Q33-U33-AA33-AB33+AC33</f>
        <v>0</v>
      </c>
      <c r="AE33" s="165">
        <f>(MIN(VALUE($G33),Assu!$E$3))*AE$9</f>
        <v>0</v>
      </c>
      <c r="AF33" s="165">
        <f>(MIN(VALUE($G33),Assu!$E$3))*AF$9</f>
        <v>0</v>
      </c>
      <c r="AG33" s="165">
        <f t="shared" ref="AG33" si="14">Q33*$AG$9/12</f>
        <v>0</v>
      </c>
      <c r="AH33" s="165"/>
      <c r="AI33" s="153"/>
      <c r="AJ33" s="153"/>
      <c r="AK33" s="153"/>
      <c r="AL33" s="153"/>
      <c r="AM33" s="167"/>
      <c r="AN33" s="168"/>
      <c r="AO33" s="168"/>
      <c r="AP33" s="168"/>
    </row>
    <row r="34" spans="1:42" s="176" customFormat="1">
      <c r="A34" s="177"/>
      <c r="B34" s="178"/>
      <c r="C34" s="153"/>
      <c r="D34" s="153"/>
      <c r="E34" s="153"/>
      <c r="F34" s="158"/>
      <c r="G34" s="179"/>
      <c r="H34" s="178"/>
      <c r="I34" s="178"/>
      <c r="J34" s="178"/>
      <c r="K34" s="180"/>
      <c r="L34" s="180"/>
      <c r="M34" s="180"/>
      <c r="N34" s="181"/>
      <c r="O34" s="181"/>
      <c r="P34" s="178"/>
      <c r="Q34" s="180"/>
      <c r="R34" s="165">
        <f>(MIN(VALUE($G34),Assu!$E$3))*R$9</f>
        <v>0</v>
      </c>
      <c r="S34" s="165">
        <f>(MIN(VALUE($G34),Assu!$E$3))*S$9</f>
        <v>0</v>
      </c>
      <c r="T34" s="165">
        <f>(MIN(VALUE($G34),Assu!$E$5))*T$9</f>
        <v>0</v>
      </c>
      <c r="U34" s="178"/>
      <c r="V34" s="182"/>
      <c r="W34" s="179"/>
      <c r="X34" s="179"/>
      <c r="Y34" s="179"/>
      <c r="Z34" s="178"/>
      <c r="AA34" s="178"/>
      <c r="AB34" s="181"/>
      <c r="AC34" s="181"/>
      <c r="AD34" s="182"/>
      <c r="AE34" s="165">
        <f>(MIN(VALUE($G34),Assu!$E$3))*AE$9</f>
        <v>0</v>
      </c>
      <c r="AF34" s="165">
        <f>(MIN(VALUE($G34),Assu!$E$3))*AF$9</f>
        <v>0</v>
      </c>
      <c r="AG34" s="182"/>
      <c r="AH34" s="182"/>
      <c r="AI34" s="153"/>
      <c r="AJ34" s="158"/>
      <c r="AK34" s="158"/>
      <c r="AL34" s="153"/>
      <c r="AM34" s="153"/>
      <c r="AN34" s="153"/>
      <c r="AO34" s="153"/>
      <c r="AP34" s="153"/>
    </row>
    <row r="35" spans="1:42" s="188" customFormat="1">
      <c r="A35" s="183"/>
      <c r="B35" s="180"/>
      <c r="C35" s="184"/>
      <c r="D35" s="184"/>
      <c r="E35" s="184"/>
      <c r="F35" s="185"/>
      <c r="G35" s="186">
        <f>SUM(G10:G33)</f>
        <v>196830000</v>
      </c>
      <c r="H35" s="186"/>
      <c r="I35" s="186"/>
      <c r="J35" s="186"/>
      <c r="K35" s="186">
        <f t="shared" ref="K35:AH35" si="15">SUM(K10:K33)</f>
        <v>183230000</v>
      </c>
      <c r="L35" s="186">
        <f t="shared" si="15"/>
        <v>117700000</v>
      </c>
      <c r="M35" s="186">
        <f t="shared" si="15"/>
        <v>300930000</v>
      </c>
      <c r="N35" s="186">
        <f t="shared" si="15"/>
        <v>118051723</v>
      </c>
      <c r="O35" s="186">
        <f t="shared" si="15"/>
        <v>20000000</v>
      </c>
      <c r="P35" s="186">
        <f t="shared" si="15"/>
        <v>2500000</v>
      </c>
      <c r="Q35" s="186">
        <f t="shared" si="15"/>
        <v>441481723</v>
      </c>
      <c r="R35" s="186">
        <f t="shared" si="15"/>
        <v>13938400</v>
      </c>
      <c r="S35" s="186">
        <f t="shared" si="15"/>
        <v>2613450</v>
      </c>
      <c r="T35" s="186">
        <f t="shared" si="15"/>
        <v>1742300</v>
      </c>
      <c r="U35" s="186">
        <f t="shared" si="15"/>
        <v>18294150</v>
      </c>
      <c r="V35" s="186">
        <f t="shared" si="15"/>
        <v>6</v>
      </c>
      <c r="W35" s="186">
        <f t="shared" si="15"/>
        <v>26400000</v>
      </c>
      <c r="X35" s="186">
        <f t="shared" si="15"/>
        <v>220000000</v>
      </c>
      <c r="Y35" s="186">
        <f t="shared" si="15"/>
        <v>246400000</v>
      </c>
      <c r="Z35" s="186">
        <f t="shared" si="15"/>
        <v>207181324</v>
      </c>
      <c r="AA35" s="186">
        <f t="shared" si="15"/>
        <v>34271306.349999994</v>
      </c>
      <c r="AB35" s="186">
        <f t="shared" si="15"/>
        <v>0</v>
      </c>
      <c r="AC35" s="186">
        <f t="shared" si="15"/>
        <v>0</v>
      </c>
      <c r="AD35" s="186">
        <f t="shared" si="15"/>
        <v>395666266.64999998</v>
      </c>
      <c r="AE35" s="186">
        <f t="shared" si="15"/>
        <v>43059050</v>
      </c>
      <c r="AF35" s="186">
        <f t="shared" si="15"/>
        <v>62298199.999999993</v>
      </c>
      <c r="AG35" s="186">
        <f t="shared" si="15"/>
        <v>36790143.583333336</v>
      </c>
      <c r="AH35" s="186">
        <f t="shared" si="15"/>
        <v>34271306.349999994</v>
      </c>
      <c r="AI35" s="153"/>
      <c r="AJ35" s="187"/>
      <c r="AK35" s="187"/>
      <c r="AL35" s="153"/>
      <c r="AM35" s="153"/>
      <c r="AN35" s="153"/>
      <c r="AO35" s="153"/>
      <c r="AP35" s="153"/>
    </row>
    <row r="36" spans="1:42" s="176" customFormat="1">
      <c r="C36" s="189"/>
      <c r="D36" s="189"/>
      <c r="E36" s="134"/>
      <c r="F36" s="134"/>
      <c r="H36" s="190"/>
      <c r="I36" s="190"/>
      <c r="J36" s="190"/>
      <c r="K36" s="191"/>
      <c r="L36" s="191"/>
      <c r="M36" s="192"/>
      <c r="N36" s="193"/>
      <c r="O36" s="193"/>
      <c r="Q36" s="191"/>
      <c r="R36" s="194"/>
      <c r="S36" s="194"/>
      <c r="T36" s="194"/>
      <c r="U36" s="195"/>
      <c r="V36" s="196"/>
      <c r="W36" s="195"/>
      <c r="X36" s="195"/>
      <c r="Y36" s="195"/>
      <c r="Z36" s="195"/>
      <c r="AA36" s="195"/>
      <c r="AB36" s="197"/>
      <c r="AC36" s="198"/>
      <c r="AD36" s="199"/>
      <c r="AF36" s="194"/>
      <c r="AG36" s="199"/>
      <c r="AH36" s="199"/>
      <c r="AI36" s="134"/>
      <c r="AJ36" s="134"/>
      <c r="AK36" s="134"/>
      <c r="AL36" s="134"/>
      <c r="AM36" s="134"/>
      <c r="AN36" s="134"/>
      <c r="AO36" s="134"/>
      <c r="AP36" s="134"/>
    </row>
    <row r="37" spans="1:42">
      <c r="E37" s="6"/>
      <c r="F37" s="212"/>
      <c r="G37" s="212"/>
      <c r="H37" s="212"/>
      <c r="I37" s="169"/>
      <c r="J37" s="169"/>
      <c r="R37" s="200"/>
      <c r="S37" s="200"/>
      <c r="T37" s="200"/>
      <c r="U37" s="200"/>
      <c r="V37" s="200"/>
      <c r="W37" s="200"/>
      <c r="X37" s="200"/>
      <c r="Y37" s="200"/>
      <c r="Z37" s="203"/>
      <c r="AA37" s="169"/>
      <c r="AB37" s="204"/>
      <c r="AC37" s="131" t="s">
        <v>386</v>
      </c>
      <c r="AD37" s="205">
        <f>AD35+AB35</f>
        <v>395666266.64999998</v>
      </c>
      <c r="AG37" s="302">
        <f>AD35+AF35+AG35</f>
        <v>494754610.23333329</v>
      </c>
      <c r="AH37" s="303">
        <f>AG37/Q35</f>
        <v>1.1206683866125378</v>
      </c>
    </row>
    <row r="38" spans="1:42">
      <c r="C38" s="207"/>
      <c r="D38" s="207"/>
      <c r="E38" s="6"/>
      <c r="F38" s="212"/>
      <c r="G38" s="212"/>
      <c r="H38" s="212"/>
      <c r="I38" s="169"/>
      <c r="J38" s="169"/>
      <c r="K38" s="169"/>
      <c r="L38" s="169"/>
      <c r="M38" s="208"/>
      <c r="R38" s="200"/>
      <c r="S38" s="200"/>
      <c r="T38" s="200"/>
      <c r="U38" s="200"/>
      <c r="V38" s="200"/>
      <c r="W38" s="200"/>
      <c r="X38" s="200"/>
      <c r="Y38" s="200"/>
      <c r="Z38" s="203"/>
      <c r="AA38" s="169"/>
      <c r="AB38" s="209" t="s">
        <v>100</v>
      </c>
      <c r="AC38" s="210" t="s">
        <v>87</v>
      </c>
      <c r="AD38" s="206">
        <f>AD10+AD12</f>
        <v>68370000</v>
      </c>
    </row>
    <row r="39" spans="1:42" ht="14.4">
      <c r="C39" s="207"/>
      <c r="D39" s="207"/>
      <c r="E39" s="7"/>
      <c r="F39" s="212"/>
      <c r="G39" s="212"/>
      <c r="H39" s="212"/>
      <c r="I39" s="169"/>
      <c r="J39" s="169"/>
      <c r="K39" s="169"/>
      <c r="L39" s="169"/>
      <c r="M39" s="208"/>
      <c r="R39" s="200"/>
      <c r="S39" s="200"/>
      <c r="T39" s="200"/>
      <c r="U39" s="200"/>
      <c r="V39" s="200"/>
      <c r="W39" s="200"/>
      <c r="X39" s="200"/>
      <c r="Y39" s="200"/>
      <c r="Z39" s="203"/>
      <c r="AA39" s="169"/>
      <c r="AB39" s="98"/>
      <c r="AC39" s="210" t="s">
        <v>87</v>
      </c>
      <c r="AD39" s="206"/>
      <c r="AI39" s="219"/>
    </row>
    <row r="40" spans="1:42">
      <c r="C40" s="207"/>
      <c r="D40" s="207"/>
      <c r="E40" s="211"/>
      <c r="F40" s="212"/>
      <c r="G40" s="212"/>
      <c r="H40" s="212"/>
      <c r="I40" s="169"/>
      <c r="J40" s="212"/>
      <c r="K40" s="212"/>
      <c r="L40" s="212"/>
      <c r="M40" s="213"/>
      <c r="N40" s="213"/>
      <c r="O40" s="213"/>
      <c r="R40" s="200"/>
      <c r="S40" s="200"/>
      <c r="T40" s="200"/>
      <c r="U40" s="200"/>
      <c r="V40" s="200"/>
      <c r="W40" s="200"/>
      <c r="X40" s="200"/>
      <c r="Y40" s="200"/>
      <c r="Z40" s="203"/>
      <c r="AA40" s="169"/>
      <c r="AB40" s="98"/>
      <c r="AC40" s="210" t="s">
        <v>87</v>
      </c>
      <c r="AD40" s="206"/>
      <c r="AE40" s="241"/>
    </row>
    <row r="41" spans="1:42">
      <c r="C41" s="207"/>
      <c r="D41" s="207"/>
      <c r="E41" s="211"/>
      <c r="F41" s="212"/>
      <c r="G41" s="212"/>
      <c r="H41" s="212"/>
      <c r="I41" s="169"/>
      <c r="J41" s="212"/>
      <c r="K41" s="212"/>
      <c r="L41" s="212"/>
      <c r="M41" s="213"/>
      <c r="N41" s="213"/>
      <c r="O41" s="213"/>
      <c r="R41" s="169"/>
      <c r="S41" s="169"/>
      <c r="T41" s="169"/>
      <c r="U41" s="169"/>
      <c r="V41" s="169"/>
      <c r="W41" s="169"/>
      <c r="X41" s="169"/>
      <c r="Y41" s="169"/>
      <c r="Z41" s="214"/>
      <c r="AA41" s="169"/>
      <c r="AB41" s="209"/>
      <c r="AC41" s="215" t="s">
        <v>104</v>
      </c>
      <c r="AD41" s="205">
        <f>AD37-SUM(AD38:AD40)</f>
        <v>327296266.64999998</v>
      </c>
    </row>
    <row r="42" spans="1:42">
      <c r="C42" s="207"/>
      <c r="D42" s="207"/>
      <c r="E42" s="211"/>
      <c r="F42" s="212"/>
      <c r="G42" s="212"/>
      <c r="H42" s="212"/>
      <c r="I42" s="169"/>
      <c r="J42" s="212"/>
      <c r="K42" s="212"/>
      <c r="L42" s="212"/>
      <c r="M42" s="213"/>
      <c r="AC42" s="217"/>
    </row>
    <row r="43" spans="1:42">
      <c r="C43" s="207"/>
      <c r="D43" s="207"/>
      <c r="E43" s="211"/>
      <c r="F43" s="212"/>
      <c r="G43" s="212"/>
      <c r="H43" s="212"/>
      <c r="I43" s="169"/>
      <c r="J43" s="212"/>
      <c r="K43" s="212"/>
      <c r="L43" s="212"/>
      <c r="M43" s="213"/>
    </row>
    <row r="44" spans="1:42">
      <c r="C44" s="207"/>
      <c r="D44" s="207"/>
      <c r="E44" s="207"/>
      <c r="F44" s="207"/>
      <c r="G44" s="169"/>
      <c r="H44" s="169"/>
      <c r="I44" s="169"/>
      <c r="J44" s="212"/>
      <c r="K44" s="212"/>
      <c r="L44" s="212"/>
      <c r="M44" s="213"/>
      <c r="AD44" s="301"/>
    </row>
    <row r="45" spans="1:42">
      <c r="C45" s="207"/>
      <c r="D45" s="207"/>
      <c r="E45" s="207"/>
      <c r="F45" s="207"/>
      <c r="G45" s="169"/>
      <c r="H45" s="169"/>
      <c r="I45" s="169"/>
      <c r="J45" s="169"/>
      <c r="K45" s="218"/>
      <c r="L45" s="218"/>
      <c r="M45" s="208"/>
    </row>
    <row r="46" spans="1:42">
      <c r="C46" s="207"/>
      <c r="D46" s="207"/>
      <c r="E46" s="207"/>
      <c r="F46" s="207"/>
      <c r="G46" s="169"/>
      <c r="H46" s="169"/>
      <c r="I46" s="169"/>
      <c r="J46" s="169"/>
      <c r="K46" s="218"/>
      <c r="L46" s="218"/>
      <c r="M46" s="208"/>
    </row>
    <row r="47" spans="1:42">
      <c r="C47" s="207"/>
      <c r="D47" s="207"/>
      <c r="E47" s="207"/>
      <c r="F47" s="207"/>
      <c r="G47" s="169"/>
      <c r="H47" s="169"/>
      <c r="I47" s="169"/>
      <c r="J47" s="169"/>
      <c r="K47" s="218"/>
      <c r="L47" s="218"/>
      <c r="M47" s="208"/>
    </row>
    <row r="48" spans="1:42">
      <c r="C48" s="207"/>
      <c r="D48" s="207"/>
      <c r="E48" s="207"/>
      <c r="F48" s="207"/>
      <c r="G48" s="169"/>
      <c r="H48" s="169"/>
      <c r="I48" s="169"/>
      <c r="J48" s="169"/>
      <c r="K48" s="218"/>
      <c r="L48" s="218"/>
      <c r="M48" s="208"/>
    </row>
    <row r="49" spans="1:46">
      <c r="C49" s="207"/>
      <c r="D49" s="207"/>
      <c r="E49" s="207"/>
      <c r="F49" s="207"/>
      <c r="G49" s="169"/>
      <c r="H49" s="169"/>
      <c r="I49" s="169"/>
      <c r="J49" s="169"/>
      <c r="K49" s="218"/>
      <c r="L49" s="218"/>
      <c r="M49" s="208"/>
    </row>
    <row r="50" spans="1:46">
      <c r="C50" s="207"/>
      <c r="D50" s="207"/>
      <c r="E50" s="207"/>
      <c r="F50" s="207"/>
      <c r="G50" s="169"/>
      <c r="H50" s="169"/>
      <c r="I50" s="169"/>
      <c r="J50" s="169"/>
      <c r="K50" s="218"/>
      <c r="L50" s="218"/>
      <c r="M50" s="208"/>
    </row>
    <row r="51" spans="1:46">
      <c r="C51" s="207"/>
      <c r="D51" s="207"/>
      <c r="E51" s="207"/>
      <c r="F51" s="207"/>
      <c r="G51" s="169"/>
      <c r="H51" s="169"/>
      <c r="I51" s="169"/>
      <c r="J51" s="169"/>
      <c r="K51" s="218"/>
      <c r="L51" s="218"/>
      <c r="M51" s="208"/>
    </row>
    <row r="52" spans="1:46" s="202" customFormat="1">
      <c r="A52" s="132"/>
      <c r="B52" s="176"/>
      <c r="C52" s="207"/>
      <c r="D52" s="207"/>
      <c r="E52" s="207"/>
      <c r="F52" s="207"/>
      <c r="G52" s="169"/>
      <c r="H52" s="169"/>
      <c r="I52" s="169"/>
      <c r="J52" s="169"/>
      <c r="K52" s="218"/>
      <c r="L52" s="218"/>
      <c r="M52" s="208"/>
      <c r="P52" s="132"/>
      <c r="Q52" s="188"/>
      <c r="R52" s="132"/>
      <c r="S52" s="132"/>
      <c r="T52" s="132"/>
      <c r="U52" s="132"/>
      <c r="V52" s="132"/>
      <c r="W52" s="132"/>
      <c r="X52" s="132"/>
      <c r="Y52" s="132"/>
      <c r="Z52" s="216"/>
      <c r="AA52" s="132"/>
      <c r="AD52" s="132"/>
      <c r="AE52" s="132"/>
      <c r="AF52" s="132"/>
      <c r="AG52" s="132"/>
      <c r="AH52" s="132"/>
      <c r="AI52" s="134"/>
      <c r="AJ52" s="133"/>
      <c r="AK52" s="133"/>
      <c r="AL52" s="134"/>
      <c r="AM52" s="134"/>
      <c r="AN52" s="134"/>
      <c r="AO52" s="134"/>
      <c r="AP52" s="134"/>
      <c r="AQ52" s="132"/>
      <c r="AR52" s="132"/>
      <c r="AS52" s="132"/>
      <c r="AT52" s="132"/>
    </row>
    <row r="53" spans="1:46" s="202" customFormat="1">
      <c r="A53" s="132"/>
      <c r="B53" s="176"/>
      <c r="C53" s="207"/>
      <c r="D53" s="207"/>
      <c r="E53" s="207"/>
      <c r="F53" s="207"/>
      <c r="G53" s="169"/>
      <c r="H53" s="169"/>
      <c r="I53" s="169"/>
      <c r="J53" s="169"/>
      <c r="K53" s="218"/>
      <c r="L53" s="218"/>
      <c r="M53" s="208"/>
      <c r="P53" s="132"/>
      <c r="Q53" s="188"/>
      <c r="R53" s="132"/>
      <c r="S53" s="132"/>
      <c r="T53" s="132"/>
      <c r="U53" s="132"/>
      <c r="V53" s="132"/>
      <c r="W53" s="132"/>
      <c r="X53" s="132"/>
      <c r="Y53" s="132"/>
      <c r="Z53" s="216"/>
      <c r="AA53" s="132"/>
      <c r="AD53" s="132"/>
      <c r="AE53" s="132"/>
      <c r="AF53" s="132"/>
      <c r="AG53" s="132"/>
      <c r="AH53" s="132"/>
      <c r="AI53" s="134"/>
      <c r="AJ53" s="133"/>
      <c r="AK53" s="133"/>
      <c r="AL53" s="134"/>
      <c r="AM53" s="134"/>
      <c r="AN53" s="134"/>
      <c r="AO53" s="134"/>
      <c r="AP53" s="134"/>
      <c r="AQ53" s="132"/>
      <c r="AR53" s="132"/>
      <c r="AS53" s="132"/>
      <c r="AT53" s="132"/>
    </row>
    <row r="54" spans="1:46" s="202" customFormat="1">
      <c r="A54" s="132"/>
      <c r="B54" s="176"/>
      <c r="C54" s="207"/>
      <c r="D54" s="207"/>
      <c r="E54" s="207"/>
      <c r="F54" s="207"/>
      <c r="G54" s="169"/>
      <c r="H54" s="169"/>
      <c r="I54" s="169"/>
      <c r="J54" s="169"/>
      <c r="K54" s="218"/>
      <c r="L54" s="218"/>
      <c r="M54" s="208"/>
      <c r="P54" s="132"/>
      <c r="Q54" s="188"/>
      <c r="R54" s="132"/>
      <c r="S54" s="132"/>
      <c r="T54" s="132"/>
      <c r="U54" s="132"/>
      <c r="V54" s="132"/>
      <c r="W54" s="132"/>
      <c r="X54" s="132"/>
      <c r="Y54" s="132"/>
      <c r="Z54" s="216"/>
      <c r="AA54" s="132"/>
      <c r="AD54" s="132"/>
      <c r="AE54" s="132"/>
      <c r="AF54" s="132"/>
      <c r="AG54" s="132"/>
      <c r="AH54" s="132"/>
      <c r="AI54" s="134"/>
      <c r="AJ54" s="133"/>
      <c r="AK54" s="133"/>
      <c r="AL54" s="134"/>
      <c r="AM54" s="134"/>
      <c r="AN54" s="134"/>
      <c r="AO54" s="134"/>
      <c r="AP54" s="134"/>
      <c r="AQ54" s="132"/>
      <c r="AR54" s="132"/>
      <c r="AS54" s="132"/>
      <c r="AT54" s="132"/>
    </row>
    <row r="55" spans="1:46" s="202" customFormat="1">
      <c r="A55" s="132"/>
      <c r="B55" s="176"/>
      <c r="C55" s="207"/>
      <c r="D55" s="207"/>
      <c r="E55" s="207"/>
      <c r="F55" s="207"/>
      <c r="G55" s="169"/>
      <c r="H55" s="169"/>
      <c r="I55" s="169"/>
      <c r="J55" s="169"/>
      <c r="K55" s="218"/>
      <c r="L55" s="218"/>
      <c r="M55" s="208"/>
      <c r="P55" s="132"/>
      <c r="Q55" s="188"/>
      <c r="R55" s="132"/>
      <c r="S55" s="132"/>
      <c r="T55" s="132"/>
      <c r="U55" s="132"/>
      <c r="V55" s="132"/>
      <c r="W55" s="132"/>
      <c r="X55" s="132"/>
      <c r="Y55" s="132"/>
      <c r="Z55" s="216"/>
      <c r="AA55" s="132"/>
      <c r="AD55" s="132"/>
      <c r="AE55" s="132"/>
      <c r="AF55" s="132"/>
      <c r="AG55" s="132"/>
      <c r="AH55" s="132"/>
      <c r="AI55" s="134"/>
      <c r="AJ55" s="133"/>
      <c r="AK55" s="133"/>
      <c r="AL55" s="134"/>
      <c r="AM55" s="134"/>
      <c r="AN55" s="134"/>
      <c r="AO55" s="134"/>
      <c r="AP55" s="134"/>
      <c r="AQ55" s="132"/>
      <c r="AR55" s="132"/>
      <c r="AS55" s="132"/>
      <c r="AT55" s="132"/>
    </row>
    <row r="56" spans="1:46" s="202" customFormat="1">
      <c r="A56" s="132"/>
      <c r="B56" s="176"/>
      <c r="C56" s="207"/>
      <c r="D56" s="207"/>
      <c r="E56" s="207"/>
      <c r="F56" s="207"/>
      <c r="G56" s="169"/>
      <c r="H56" s="169"/>
      <c r="I56" s="169"/>
      <c r="J56" s="169"/>
      <c r="K56" s="218"/>
      <c r="L56" s="218"/>
      <c r="M56" s="208"/>
      <c r="P56" s="132"/>
      <c r="Q56" s="188"/>
      <c r="R56" s="132"/>
      <c r="S56" s="132"/>
      <c r="T56" s="132"/>
      <c r="U56" s="132"/>
      <c r="V56" s="132"/>
      <c r="W56" s="132"/>
      <c r="X56" s="132"/>
      <c r="Y56" s="132"/>
      <c r="Z56" s="216"/>
      <c r="AA56" s="132"/>
      <c r="AD56" s="132"/>
      <c r="AE56" s="132"/>
      <c r="AF56" s="132"/>
      <c r="AG56" s="132"/>
      <c r="AH56" s="132"/>
      <c r="AI56" s="134"/>
      <c r="AJ56" s="133"/>
      <c r="AK56" s="133"/>
      <c r="AL56" s="134"/>
      <c r="AM56" s="134"/>
      <c r="AN56" s="134"/>
      <c r="AO56" s="134"/>
      <c r="AP56" s="134"/>
      <c r="AQ56" s="132"/>
      <c r="AR56" s="132"/>
      <c r="AS56" s="132"/>
      <c r="AT56" s="132"/>
    </row>
    <row r="57" spans="1:46" s="202" customFormat="1">
      <c r="A57" s="132"/>
      <c r="B57" s="176"/>
      <c r="C57" s="207"/>
      <c r="D57" s="207"/>
      <c r="E57" s="207"/>
      <c r="F57" s="207"/>
      <c r="G57" s="169"/>
      <c r="H57" s="169"/>
      <c r="I57" s="169"/>
      <c r="J57" s="169"/>
      <c r="K57" s="218"/>
      <c r="L57" s="218"/>
      <c r="M57" s="208"/>
      <c r="P57" s="132"/>
      <c r="Q57" s="188"/>
      <c r="R57" s="132"/>
      <c r="S57" s="132"/>
      <c r="T57" s="132"/>
      <c r="U57" s="132"/>
      <c r="V57" s="132"/>
      <c r="W57" s="132"/>
      <c r="X57" s="132"/>
      <c r="Y57" s="132"/>
      <c r="Z57" s="216"/>
      <c r="AA57" s="132"/>
      <c r="AD57" s="132"/>
      <c r="AE57" s="132"/>
      <c r="AF57" s="132"/>
      <c r="AG57" s="132"/>
      <c r="AH57" s="132"/>
      <c r="AI57" s="134"/>
      <c r="AJ57" s="133"/>
      <c r="AK57" s="133"/>
      <c r="AL57" s="134"/>
      <c r="AM57" s="134"/>
      <c r="AN57" s="134"/>
      <c r="AO57" s="134"/>
      <c r="AP57" s="134"/>
      <c r="AQ57" s="132"/>
      <c r="AR57" s="132"/>
      <c r="AS57" s="132"/>
      <c r="AT57" s="132"/>
    </row>
    <row r="58" spans="1:46" s="202" customFormat="1">
      <c r="A58" s="132"/>
      <c r="B58" s="176"/>
      <c r="C58" s="207"/>
      <c r="D58" s="207"/>
      <c r="E58" s="207"/>
      <c r="F58" s="207"/>
      <c r="G58" s="169"/>
      <c r="H58" s="169"/>
      <c r="I58" s="169"/>
      <c r="J58" s="169"/>
      <c r="K58" s="218"/>
      <c r="L58" s="218"/>
      <c r="M58" s="208"/>
      <c r="P58" s="132"/>
      <c r="Q58" s="188"/>
      <c r="R58" s="132"/>
      <c r="S58" s="132"/>
      <c r="T58" s="132"/>
      <c r="U58" s="132"/>
      <c r="V58" s="132"/>
      <c r="W58" s="132"/>
      <c r="X58" s="132"/>
      <c r="Y58" s="132"/>
      <c r="Z58" s="216"/>
      <c r="AA58" s="132"/>
      <c r="AD58" s="132"/>
      <c r="AE58" s="132"/>
      <c r="AF58" s="132"/>
      <c r="AG58" s="132"/>
      <c r="AH58" s="132"/>
      <c r="AI58" s="134"/>
      <c r="AJ58" s="133"/>
      <c r="AK58" s="133"/>
      <c r="AL58" s="134"/>
      <c r="AM58" s="134"/>
      <c r="AN58" s="134"/>
      <c r="AO58" s="134"/>
      <c r="AP58" s="134"/>
      <c r="AQ58" s="132"/>
      <c r="AR58" s="132"/>
      <c r="AS58" s="132"/>
      <c r="AT58" s="132"/>
    </row>
    <row r="59" spans="1:46" s="202" customFormat="1">
      <c r="A59" s="132"/>
      <c r="B59" s="176"/>
      <c r="C59" s="207"/>
      <c r="D59" s="207"/>
      <c r="E59" s="207"/>
      <c r="F59" s="207"/>
      <c r="G59" s="169"/>
      <c r="H59" s="169"/>
      <c r="I59" s="169"/>
      <c r="J59" s="169"/>
      <c r="K59" s="218"/>
      <c r="L59" s="218"/>
      <c r="M59" s="208"/>
      <c r="P59" s="132"/>
      <c r="Q59" s="188"/>
      <c r="R59" s="132"/>
      <c r="S59" s="132"/>
      <c r="T59" s="132"/>
      <c r="U59" s="132"/>
      <c r="V59" s="132"/>
      <c r="W59" s="132"/>
      <c r="X59" s="132"/>
      <c r="Y59" s="132"/>
      <c r="Z59" s="216"/>
      <c r="AA59" s="132"/>
      <c r="AD59" s="132"/>
      <c r="AE59" s="132"/>
      <c r="AF59" s="132"/>
      <c r="AG59" s="132"/>
      <c r="AH59" s="132"/>
      <c r="AI59" s="134"/>
      <c r="AJ59" s="133"/>
      <c r="AK59" s="133"/>
      <c r="AL59" s="134"/>
      <c r="AM59" s="134"/>
      <c r="AN59" s="134"/>
      <c r="AO59" s="134"/>
      <c r="AP59" s="134"/>
      <c r="AQ59" s="132"/>
      <c r="AR59" s="132"/>
      <c r="AS59" s="132"/>
      <c r="AT59" s="132"/>
    </row>
    <row r="60" spans="1:46" s="202" customFormat="1">
      <c r="A60" s="132"/>
      <c r="B60" s="176"/>
      <c r="C60" s="207"/>
      <c r="D60" s="207"/>
      <c r="E60" s="207"/>
      <c r="F60" s="207"/>
      <c r="G60" s="169"/>
      <c r="H60" s="169"/>
      <c r="I60" s="169"/>
      <c r="J60" s="169"/>
      <c r="K60" s="218"/>
      <c r="L60" s="218"/>
      <c r="M60" s="208"/>
      <c r="P60" s="132"/>
      <c r="Q60" s="188"/>
      <c r="R60" s="132"/>
      <c r="S60" s="132"/>
      <c r="T60" s="132"/>
      <c r="U60" s="132"/>
      <c r="V60" s="132"/>
      <c r="W60" s="132"/>
      <c r="X60" s="132"/>
      <c r="Y60" s="132"/>
      <c r="Z60" s="216"/>
      <c r="AA60" s="132"/>
      <c r="AD60" s="132"/>
      <c r="AE60" s="132"/>
      <c r="AF60" s="132"/>
      <c r="AG60" s="132"/>
      <c r="AH60" s="132"/>
      <c r="AI60" s="134"/>
      <c r="AJ60" s="133"/>
      <c r="AK60" s="133"/>
      <c r="AL60" s="134"/>
      <c r="AM60" s="134"/>
      <c r="AN60" s="134"/>
      <c r="AO60" s="134"/>
      <c r="AP60" s="134"/>
      <c r="AQ60" s="132"/>
      <c r="AR60" s="132"/>
      <c r="AS60" s="132"/>
      <c r="AT60" s="132"/>
    </row>
    <row r="61" spans="1:46" s="202" customFormat="1">
      <c r="A61" s="132"/>
      <c r="B61" s="176"/>
      <c r="C61" s="207"/>
      <c r="D61" s="207"/>
      <c r="E61" s="207"/>
      <c r="F61" s="207"/>
      <c r="G61" s="169"/>
      <c r="H61" s="169"/>
      <c r="I61" s="169"/>
      <c r="J61" s="169"/>
      <c r="K61" s="218"/>
      <c r="L61" s="218"/>
      <c r="M61" s="208"/>
      <c r="P61" s="132"/>
      <c r="Q61" s="188"/>
      <c r="R61" s="132"/>
      <c r="S61" s="132"/>
      <c r="T61" s="132"/>
      <c r="U61" s="132"/>
      <c r="V61" s="132"/>
      <c r="W61" s="132"/>
      <c r="X61" s="132"/>
      <c r="Y61" s="132"/>
      <c r="Z61" s="216"/>
      <c r="AA61" s="132"/>
      <c r="AD61" s="132"/>
      <c r="AE61" s="132"/>
      <c r="AF61" s="132"/>
      <c r="AG61" s="132"/>
      <c r="AH61" s="132"/>
      <c r="AI61" s="134"/>
      <c r="AJ61" s="133"/>
      <c r="AK61" s="133"/>
      <c r="AL61" s="134"/>
      <c r="AM61" s="134"/>
      <c r="AN61" s="134"/>
      <c r="AO61" s="134"/>
      <c r="AP61" s="134"/>
      <c r="AQ61" s="132"/>
      <c r="AR61" s="132"/>
      <c r="AS61" s="132"/>
      <c r="AT61" s="132"/>
    </row>
    <row r="62" spans="1:46" s="202" customFormat="1">
      <c r="A62" s="132"/>
      <c r="B62" s="176"/>
      <c r="C62" s="207"/>
      <c r="D62" s="207"/>
      <c r="E62" s="207"/>
      <c r="F62" s="207"/>
      <c r="G62" s="169"/>
      <c r="H62" s="169"/>
      <c r="I62" s="169"/>
      <c r="J62" s="169"/>
      <c r="K62" s="218"/>
      <c r="L62" s="218"/>
      <c r="M62" s="208"/>
      <c r="P62" s="132"/>
      <c r="Q62" s="188"/>
      <c r="R62" s="132"/>
      <c r="S62" s="132"/>
      <c r="T62" s="132"/>
      <c r="U62" s="132"/>
      <c r="V62" s="132"/>
      <c r="W62" s="132"/>
      <c r="X62" s="132"/>
      <c r="Y62" s="132"/>
      <c r="Z62" s="216"/>
      <c r="AA62" s="132"/>
      <c r="AD62" s="132"/>
      <c r="AE62" s="132"/>
      <c r="AF62" s="132"/>
      <c r="AG62" s="132"/>
      <c r="AH62" s="132"/>
      <c r="AI62" s="134"/>
      <c r="AJ62" s="133"/>
      <c r="AK62" s="133"/>
      <c r="AL62" s="134"/>
      <c r="AM62" s="134"/>
      <c r="AN62" s="134"/>
      <c r="AO62" s="134"/>
      <c r="AP62" s="134"/>
      <c r="AQ62" s="132"/>
      <c r="AR62" s="132"/>
      <c r="AS62" s="132"/>
      <c r="AT62" s="132"/>
    </row>
    <row r="63" spans="1:46" s="202" customFormat="1">
      <c r="A63" s="132"/>
      <c r="B63" s="176"/>
      <c r="C63" s="207"/>
      <c r="D63" s="207"/>
      <c r="E63" s="207"/>
      <c r="F63" s="207"/>
      <c r="G63" s="169"/>
      <c r="H63" s="169"/>
      <c r="I63" s="169"/>
      <c r="J63" s="169"/>
      <c r="K63" s="218"/>
      <c r="L63" s="218"/>
      <c r="M63" s="208"/>
      <c r="P63" s="132"/>
      <c r="Q63" s="188"/>
      <c r="R63" s="132"/>
      <c r="S63" s="132"/>
      <c r="T63" s="132"/>
      <c r="U63" s="132"/>
      <c r="V63" s="132"/>
      <c r="W63" s="132"/>
      <c r="X63" s="132"/>
      <c r="Y63" s="132"/>
      <c r="Z63" s="216"/>
      <c r="AA63" s="132"/>
      <c r="AD63" s="132"/>
      <c r="AE63" s="132"/>
      <c r="AF63" s="132"/>
      <c r="AG63" s="132"/>
      <c r="AH63" s="132"/>
      <c r="AI63" s="134"/>
      <c r="AJ63" s="133"/>
      <c r="AK63" s="133"/>
      <c r="AL63" s="134"/>
      <c r="AM63" s="134"/>
      <c r="AN63" s="134"/>
      <c r="AO63" s="134"/>
      <c r="AP63" s="134"/>
      <c r="AQ63" s="132"/>
      <c r="AR63" s="132"/>
      <c r="AS63" s="132"/>
      <c r="AT63" s="132"/>
    </row>
    <row r="64" spans="1:46" s="202" customFormat="1">
      <c r="A64" s="132"/>
      <c r="B64" s="176"/>
      <c r="C64" s="207"/>
      <c r="D64" s="207"/>
      <c r="E64" s="207"/>
      <c r="F64" s="207"/>
      <c r="G64" s="169"/>
      <c r="H64" s="169"/>
      <c r="I64" s="169"/>
      <c r="J64" s="169"/>
      <c r="K64" s="218"/>
      <c r="L64" s="218"/>
      <c r="M64" s="208"/>
      <c r="P64" s="132"/>
      <c r="Q64" s="188"/>
      <c r="R64" s="132"/>
      <c r="S64" s="132"/>
      <c r="T64" s="132"/>
      <c r="U64" s="132"/>
      <c r="V64" s="132"/>
      <c r="W64" s="132"/>
      <c r="X64" s="132"/>
      <c r="Y64" s="132"/>
      <c r="Z64" s="216"/>
      <c r="AA64" s="132"/>
      <c r="AD64" s="132"/>
      <c r="AE64" s="132"/>
      <c r="AF64" s="132"/>
      <c r="AG64" s="132"/>
      <c r="AH64" s="132"/>
      <c r="AI64" s="134"/>
      <c r="AJ64" s="133"/>
      <c r="AK64" s="133"/>
      <c r="AL64" s="134"/>
      <c r="AM64" s="134"/>
      <c r="AN64" s="134"/>
      <c r="AO64" s="134"/>
      <c r="AP64" s="134"/>
      <c r="AQ64" s="132"/>
      <c r="AR64" s="132"/>
      <c r="AS64" s="132"/>
      <c r="AT64" s="132"/>
    </row>
    <row r="65" spans="1:46" s="202" customFormat="1">
      <c r="A65" s="132"/>
      <c r="B65" s="176"/>
      <c r="C65" s="207"/>
      <c r="D65" s="207"/>
      <c r="E65" s="207"/>
      <c r="F65" s="207"/>
      <c r="G65" s="169"/>
      <c r="H65" s="169"/>
      <c r="I65" s="169"/>
      <c r="J65" s="169"/>
      <c r="K65" s="218"/>
      <c r="L65" s="218"/>
      <c r="M65" s="208"/>
      <c r="P65" s="132"/>
      <c r="Q65" s="188"/>
      <c r="R65" s="132"/>
      <c r="S65" s="132"/>
      <c r="T65" s="132"/>
      <c r="U65" s="132"/>
      <c r="V65" s="132"/>
      <c r="W65" s="132"/>
      <c r="X65" s="132"/>
      <c r="Y65" s="132"/>
      <c r="Z65" s="216"/>
      <c r="AA65" s="132"/>
      <c r="AD65" s="132"/>
      <c r="AE65" s="132"/>
      <c r="AF65" s="132"/>
      <c r="AG65" s="132"/>
      <c r="AH65" s="132"/>
      <c r="AI65" s="134"/>
      <c r="AJ65" s="133"/>
      <c r="AK65" s="133"/>
      <c r="AL65" s="134"/>
      <c r="AM65" s="134"/>
      <c r="AN65" s="134"/>
      <c r="AO65" s="134"/>
      <c r="AP65" s="134"/>
      <c r="AQ65" s="132"/>
      <c r="AR65" s="132"/>
      <c r="AS65" s="132"/>
      <c r="AT65" s="132"/>
    </row>
    <row r="66" spans="1:46" s="202" customFormat="1">
      <c r="A66" s="132"/>
      <c r="B66" s="176"/>
      <c r="C66" s="207"/>
      <c r="D66" s="207"/>
      <c r="E66" s="207"/>
      <c r="F66" s="207"/>
      <c r="G66" s="169"/>
      <c r="H66" s="169"/>
      <c r="I66" s="169"/>
      <c r="J66" s="169"/>
      <c r="K66" s="218"/>
      <c r="L66" s="218"/>
      <c r="M66" s="208"/>
      <c r="P66" s="132"/>
      <c r="Q66" s="188"/>
      <c r="R66" s="132"/>
      <c r="S66" s="132"/>
      <c r="T66" s="132"/>
      <c r="U66" s="132"/>
      <c r="V66" s="132"/>
      <c r="W66" s="132"/>
      <c r="X66" s="132"/>
      <c r="Y66" s="132"/>
      <c r="Z66" s="216"/>
      <c r="AA66" s="132"/>
      <c r="AD66" s="132"/>
      <c r="AE66" s="132"/>
      <c r="AF66" s="132"/>
      <c r="AG66" s="132"/>
      <c r="AH66" s="132"/>
      <c r="AI66" s="134"/>
      <c r="AJ66" s="133"/>
      <c r="AK66" s="133"/>
      <c r="AL66" s="134"/>
      <c r="AM66" s="134"/>
      <c r="AN66" s="134"/>
      <c r="AO66" s="134"/>
      <c r="AP66" s="134"/>
      <c r="AQ66" s="132"/>
      <c r="AR66" s="132"/>
      <c r="AS66" s="132"/>
      <c r="AT66" s="132"/>
    </row>
    <row r="67" spans="1:46" s="202" customFormat="1">
      <c r="A67" s="132"/>
      <c r="B67" s="176"/>
      <c r="C67" s="207"/>
      <c r="D67" s="207"/>
      <c r="E67" s="207"/>
      <c r="F67" s="207"/>
      <c r="G67" s="169"/>
      <c r="H67" s="169"/>
      <c r="I67" s="169"/>
      <c r="J67" s="169"/>
      <c r="K67" s="218"/>
      <c r="L67" s="218"/>
      <c r="M67" s="208"/>
      <c r="P67" s="132"/>
      <c r="Q67" s="188"/>
      <c r="R67" s="132"/>
      <c r="S67" s="132"/>
      <c r="T67" s="132"/>
      <c r="U67" s="132"/>
      <c r="V67" s="132"/>
      <c r="W67" s="132"/>
      <c r="X67" s="132"/>
      <c r="Y67" s="132"/>
      <c r="Z67" s="216"/>
      <c r="AA67" s="132"/>
      <c r="AD67" s="132"/>
      <c r="AE67" s="132"/>
      <c r="AF67" s="132"/>
      <c r="AG67" s="132"/>
      <c r="AH67" s="132"/>
      <c r="AI67" s="134"/>
      <c r="AJ67" s="133"/>
      <c r="AK67" s="133"/>
      <c r="AL67" s="134"/>
      <c r="AM67" s="134"/>
      <c r="AN67" s="134"/>
      <c r="AO67" s="134"/>
      <c r="AP67" s="134"/>
      <c r="AQ67" s="132"/>
      <c r="AR67" s="132"/>
      <c r="AS67" s="132"/>
      <c r="AT67" s="132"/>
    </row>
    <row r="68" spans="1:46" s="202" customFormat="1">
      <c r="A68" s="132"/>
      <c r="B68" s="176"/>
      <c r="C68" s="207"/>
      <c r="D68" s="207"/>
      <c r="E68" s="207"/>
      <c r="F68" s="207"/>
      <c r="G68" s="169"/>
      <c r="H68" s="169"/>
      <c r="I68" s="169"/>
      <c r="J68" s="169"/>
      <c r="K68" s="218"/>
      <c r="L68" s="218"/>
      <c r="M68" s="208"/>
      <c r="P68" s="132"/>
      <c r="Q68" s="188"/>
      <c r="R68" s="132"/>
      <c r="S68" s="132"/>
      <c r="T68" s="132"/>
      <c r="U68" s="132"/>
      <c r="V68" s="132"/>
      <c r="W68" s="132"/>
      <c r="X68" s="132"/>
      <c r="Y68" s="132"/>
      <c r="Z68" s="216"/>
      <c r="AA68" s="132"/>
      <c r="AD68" s="132"/>
      <c r="AE68" s="132"/>
      <c r="AF68" s="132"/>
      <c r="AG68" s="132"/>
      <c r="AH68" s="132"/>
      <c r="AI68" s="134"/>
      <c r="AJ68" s="133"/>
      <c r="AK68" s="133"/>
      <c r="AL68" s="134"/>
      <c r="AM68" s="134"/>
      <c r="AN68" s="134"/>
      <c r="AO68" s="134"/>
      <c r="AP68" s="134"/>
      <c r="AQ68" s="132"/>
      <c r="AR68" s="132"/>
      <c r="AS68" s="132"/>
      <c r="AT68" s="132"/>
    </row>
    <row r="69" spans="1:46" s="202" customFormat="1">
      <c r="A69" s="132"/>
      <c r="B69" s="176"/>
      <c r="C69" s="207"/>
      <c r="D69" s="207"/>
      <c r="E69" s="207"/>
      <c r="F69" s="207"/>
      <c r="G69" s="169"/>
      <c r="H69" s="169"/>
      <c r="I69" s="169"/>
      <c r="J69" s="169"/>
      <c r="K69" s="218"/>
      <c r="L69" s="218"/>
      <c r="M69" s="208"/>
      <c r="P69" s="132"/>
      <c r="Q69" s="188"/>
      <c r="R69" s="132"/>
      <c r="S69" s="132"/>
      <c r="T69" s="132"/>
      <c r="U69" s="132"/>
      <c r="V69" s="132"/>
      <c r="W69" s="132"/>
      <c r="X69" s="132"/>
      <c r="Y69" s="132"/>
      <c r="Z69" s="216"/>
      <c r="AA69" s="132"/>
      <c r="AD69" s="132"/>
      <c r="AE69" s="132"/>
      <c r="AF69" s="132"/>
      <c r="AG69" s="132"/>
      <c r="AH69" s="132"/>
      <c r="AI69" s="134"/>
      <c r="AJ69" s="133"/>
      <c r="AK69" s="133"/>
      <c r="AL69" s="134"/>
      <c r="AM69" s="134"/>
      <c r="AN69" s="134"/>
      <c r="AO69" s="134"/>
      <c r="AP69" s="134"/>
      <c r="AQ69" s="132"/>
      <c r="AR69" s="132"/>
      <c r="AS69" s="132"/>
      <c r="AT69" s="132"/>
    </row>
    <row r="70" spans="1:46" s="202" customFormat="1">
      <c r="A70" s="132"/>
      <c r="B70" s="176"/>
      <c r="C70" s="207"/>
      <c r="D70" s="207"/>
      <c r="E70" s="207"/>
      <c r="F70" s="207"/>
      <c r="G70" s="169"/>
      <c r="H70" s="169"/>
      <c r="I70" s="169"/>
      <c r="J70" s="169"/>
      <c r="K70" s="218"/>
      <c r="L70" s="218"/>
      <c r="M70" s="208"/>
      <c r="P70" s="132"/>
      <c r="Q70" s="188"/>
      <c r="R70" s="132"/>
      <c r="S70" s="132"/>
      <c r="T70" s="132"/>
      <c r="U70" s="132"/>
      <c r="V70" s="132"/>
      <c r="W70" s="132"/>
      <c r="X70" s="132"/>
      <c r="Y70" s="132"/>
      <c r="Z70" s="216"/>
      <c r="AA70" s="132"/>
      <c r="AD70" s="132"/>
      <c r="AE70" s="132"/>
      <c r="AF70" s="132"/>
      <c r="AG70" s="132"/>
      <c r="AH70" s="132"/>
      <c r="AI70" s="134"/>
      <c r="AJ70" s="133"/>
      <c r="AK70" s="133"/>
      <c r="AL70" s="134"/>
      <c r="AM70" s="134"/>
      <c r="AN70" s="134"/>
      <c r="AO70" s="134"/>
      <c r="AP70" s="134"/>
      <c r="AQ70" s="132"/>
      <c r="AR70" s="132"/>
      <c r="AS70" s="132"/>
      <c r="AT70" s="132"/>
    </row>
    <row r="71" spans="1:46" s="202" customFormat="1">
      <c r="A71" s="132"/>
      <c r="B71" s="176"/>
      <c r="C71" s="207"/>
      <c r="D71" s="207"/>
      <c r="E71" s="207"/>
      <c r="F71" s="207"/>
      <c r="G71" s="169"/>
      <c r="H71" s="169"/>
      <c r="I71" s="169"/>
      <c r="J71" s="169"/>
      <c r="K71" s="218"/>
      <c r="L71" s="218"/>
      <c r="M71" s="208"/>
      <c r="P71" s="132"/>
      <c r="Q71" s="188"/>
      <c r="R71" s="132"/>
      <c r="S71" s="132"/>
      <c r="T71" s="132"/>
      <c r="U71" s="132"/>
      <c r="V71" s="132"/>
      <c r="W71" s="132"/>
      <c r="X71" s="132"/>
      <c r="Y71" s="132"/>
      <c r="Z71" s="216"/>
      <c r="AA71" s="132"/>
      <c r="AD71" s="132"/>
      <c r="AE71" s="132"/>
      <c r="AF71" s="132"/>
      <c r="AG71" s="132"/>
      <c r="AH71" s="132"/>
      <c r="AI71" s="134"/>
      <c r="AJ71" s="133"/>
      <c r="AK71" s="133"/>
      <c r="AL71" s="134"/>
      <c r="AM71" s="134"/>
      <c r="AN71" s="134"/>
      <c r="AO71" s="134"/>
      <c r="AP71" s="134"/>
      <c r="AQ71" s="132"/>
      <c r="AR71" s="132"/>
      <c r="AS71" s="132"/>
      <c r="AT71" s="132"/>
    </row>
    <row r="72" spans="1:46" s="202" customFormat="1">
      <c r="A72" s="132"/>
      <c r="B72" s="176"/>
      <c r="C72" s="207"/>
      <c r="D72" s="207"/>
      <c r="E72" s="207"/>
      <c r="F72" s="207"/>
      <c r="G72" s="169"/>
      <c r="H72" s="169"/>
      <c r="I72" s="169"/>
      <c r="J72" s="169"/>
      <c r="K72" s="218"/>
      <c r="L72" s="218"/>
      <c r="M72" s="208"/>
      <c r="P72" s="132"/>
      <c r="Q72" s="188"/>
      <c r="R72" s="132"/>
      <c r="S72" s="132"/>
      <c r="T72" s="132"/>
      <c r="U72" s="132"/>
      <c r="V72" s="132"/>
      <c r="W72" s="132"/>
      <c r="X72" s="132"/>
      <c r="Y72" s="132"/>
      <c r="Z72" s="216"/>
      <c r="AA72" s="132"/>
      <c r="AD72" s="132"/>
      <c r="AE72" s="132"/>
      <c r="AF72" s="132"/>
      <c r="AG72" s="132"/>
      <c r="AH72" s="132"/>
      <c r="AI72" s="134"/>
      <c r="AJ72" s="133"/>
      <c r="AK72" s="133"/>
      <c r="AL72" s="134"/>
      <c r="AM72" s="134"/>
      <c r="AN72" s="134"/>
      <c r="AO72" s="134"/>
      <c r="AP72" s="134"/>
      <c r="AQ72" s="132"/>
      <c r="AR72" s="132"/>
      <c r="AS72" s="132"/>
      <c r="AT72" s="132"/>
    </row>
    <row r="73" spans="1:46" s="202" customFormat="1">
      <c r="A73" s="132"/>
      <c r="B73" s="176"/>
      <c r="C73" s="207"/>
      <c r="D73" s="207"/>
      <c r="E73" s="207"/>
      <c r="F73" s="207"/>
      <c r="G73" s="169"/>
      <c r="H73" s="169"/>
      <c r="I73" s="169"/>
      <c r="J73" s="169"/>
      <c r="K73" s="218"/>
      <c r="L73" s="218"/>
      <c r="M73" s="208"/>
      <c r="P73" s="132"/>
      <c r="Q73" s="188"/>
      <c r="R73" s="132"/>
      <c r="S73" s="132"/>
      <c r="T73" s="132"/>
      <c r="U73" s="132"/>
      <c r="V73" s="132"/>
      <c r="W73" s="132"/>
      <c r="X73" s="132"/>
      <c r="Y73" s="132"/>
      <c r="Z73" s="216"/>
      <c r="AA73" s="132"/>
      <c r="AD73" s="132"/>
      <c r="AE73" s="132"/>
      <c r="AF73" s="132"/>
      <c r="AG73" s="132"/>
      <c r="AH73" s="132"/>
      <c r="AI73" s="134"/>
      <c r="AJ73" s="133"/>
      <c r="AK73" s="133"/>
      <c r="AL73" s="134"/>
      <c r="AM73" s="134"/>
      <c r="AN73" s="134"/>
      <c r="AO73" s="134"/>
      <c r="AP73" s="134"/>
      <c r="AQ73" s="132"/>
      <c r="AR73" s="132"/>
      <c r="AS73" s="132"/>
      <c r="AT73" s="132"/>
    </row>
    <row r="74" spans="1:46" s="202" customFormat="1">
      <c r="A74" s="132"/>
      <c r="B74" s="176"/>
      <c r="C74" s="207"/>
      <c r="D74" s="207"/>
      <c r="E74" s="207"/>
      <c r="F74" s="207"/>
      <c r="G74" s="169"/>
      <c r="H74" s="169"/>
      <c r="I74" s="169"/>
      <c r="J74" s="169"/>
      <c r="K74" s="218"/>
      <c r="L74" s="218"/>
      <c r="M74" s="208"/>
      <c r="P74" s="132"/>
      <c r="Q74" s="188"/>
      <c r="R74" s="132"/>
      <c r="S74" s="132"/>
      <c r="T74" s="132"/>
      <c r="U74" s="132"/>
      <c r="V74" s="132"/>
      <c r="W74" s="132"/>
      <c r="X74" s="132"/>
      <c r="Y74" s="132"/>
      <c r="Z74" s="216"/>
      <c r="AA74" s="132"/>
      <c r="AD74" s="132"/>
      <c r="AE74" s="132"/>
      <c r="AF74" s="132"/>
      <c r="AG74" s="132"/>
      <c r="AH74" s="132"/>
      <c r="AI74" s="134"/>
      <c r="AJ74" s="133"/>
      <c r="AK74" s="133"/>
      <c r="AL74" s="134"/>
      <c r="AM74" s="134"/>
      <c r="AN74" s="134"/>
      <c r="AO74" s="134"/>
      <c r="AP74" s="134"/>
      <c r="AQ74" s="132"/>
      <c r="AR74" s="132"/>
      <c r="AS74" s="132"/>
      <c r="AT74" s="132"/>
    </row>
    <row r="75" spans="1:46" s="202" customFormat="1">
      <c r="A75" s="132"/>
      <c r="B75" s="176"/>
      <c r="C75" s="207"/>
      <c r="D75" s="207"/>
      <c r="E75" s="207"/>
      <c r="F75" s="207"/>
      <c r="G75" s="169"/>
      <c r="H75" s="169"/>
      <c r="I75" s="169"/>
      <c r="J75" s="169"/>
      <c r="K75" s="218"/>
      <c r="L75" s="218"/>
      <c r="M75" s="208"/>
      <c r="P75" s="132"/>
      <c r="Q75" s="188"/>
      <c r="R75" s="132"/>
      <c r="S75" s="132"/>
      <c r="T75" s="132"/>
      <c r="U75" s="132"/>
      <c r="V75" s="132"/>
      <c r="W75" s="132"/>
      <c r="X75" s="132"/>
      <c r="Y75" s="132"/>
      <c r="Z75" s="216"/>
      <c r="AA75" s="132"/>
      <c r="AD75" s="132"/>
      <c r="AE75" s="132"/>
      <c r="AF75" s="132"/>
      <c r="AG75" s="132"/>
      <c r="AH75" s="132"/>
      <c r="AI75" s="134"/>
      <c r="AJ75" s="133"/>
      <c r="AK75" s="133"/>
      <c r="AL75" s="134"/>
      <c r="AM75" s="134"/>
      <c r="AN75" s="134"/>
      <c r="AO75" s="134"/>
      <c r="AP75" s="134"/>
      <c r="AQ75" s="132"/>
      <c r="AR75" s="132"/>
      <c r="AS75" s="132"/>
      <c r="AT75" s="132"/>
    </row>
    <row r="76" spans="1:46" s="202" customFormat="1">
      <c r="A76" s="132"/>
      <c r="B76" s="176"/>
      <c r="C76" s="207"/>
      <c r="D76" s="207"/>
      <c r="E76" s="207"/>
      <c r="F76" s="207"/>
      <c r="G76" s="169"/>
      <c r="H76" s="169"/>
      <c r="I76" s="169"/>
      <c r="J76" s="169"/>
      <c r="K76" s="218"/>
      <c r="L76" s="218"/>
      <c r="M76" s="208"/>
      <c r="P76" s="132"/>
      <c r="Q76" s="188"/>
      <c r="R76" s="132"/>
      <c r="S76" s="132"/>
      <c r="T76" s="132"/>
      <c r="U76" s="132"/>
      <c r="V76" s="132"/>
      <c r="W76" s="132"/>
      <c r="X76" s="132"/>
      <c r="Y76" s="132"/>
      <c r="Z76" s="216"/>
      <c r="AA76" s="132"/>
      <c r="AD76" s="132"/>
      <c r="AE76" s="132"/>
      <c r="AF76" s="132"/>
      <c r="AG76" s="132"/>
      <c r="AH76" s="132"/>
      <c r="AI76" s="134"/>
      <c r="AJ76" s="133"/>
      <c r="AK76" s="133"/>
      <c r="AL76" s="134"/>
      <c r="AM76" s="134"/>
      <c r="AN76" s="134"/>
      <c r="AO76" s="134"/>
      <c r="AP76" s="134"/>
      <c r="AQ76" s="132"/>
      <c r="AR76" s="132"/>
      <c r="AS76" s="132"/>
      <c r="AT76" s="132"/>
    </row>
  </sheetData>
  <mergeCells count="6">
    <mergeCell ref="H7:J7"/>
    <mergeCell ref="K7:M7"/>
    <mergeCell ref="R7:T7"/>
    <mergeCell ref="V7:X7"/>
    <mergeCell ref="AB7:AC7"/>
    <mergeCell ref="N7:P7"/>
  </mergeCells>
  <pageMargins left="0.2" right="0" top="0.25" bottom="0.25" header="0.3" footer="0.3"/>
  <pageSetup paperSize="9" scale="95" orientation="landscape" verticalDpi="300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/>
  <dimension ref="A1:AV83"/>
  <sheetViews>
    <sheetView showGridLines="0" zoomScaleNormal="100" workbookViewId="0">
      <pane xSplit="7" ySplit="8" topLeftCell="T9" activePane="bottomRight" state="frozen"/>
      <selection pane="topRight" activeCell="G1" sqref="G1"/>
      <selection pane="bottomLeft" activeCell="A9" sqref="A9"/>
      <selection pane="bottomRight" activeCell="A28" sqref="A28:XFD28"/>
    </sheetView>
  </sheetViews>
  <sheetFormatPr defaultColWidth="9.33203125" defaultRowHeight="13.8"/>
  <cols>
    <col min="1" max="1" width="3.6640625" style="132" customWidth="1"/>
    <col min="2" max="2" width="22" style="176" customWidth="1"/>
    <col min="3" max="3" width="5.5546875" style="133" customWidth="1"/>
    <col min="4" max="4" width="6.6640625" style="133" customWidth="1"/>
    <col min="5" max="5" width="8.33203125" style="133" customWidth="1"/>
    <col min="6" max="6" width="10.33203125" style="133" customWidth="1"/>
    <col min="7" max="7" width="12.33203125" style="132" customWidth="1"/>
    <col min="8" max="8" width="5.6640625" style="132" bestFit="1" customWidth="1"/>
    <col min="9" max="9" width="2.6640625" style="132" customWidth="1"/>
    <col min="10" max="10" width="5.5546875" style="132" customWidth="1"/>
    <col min="11" max="11" width="12.33203125" style="188" customWidth="1"/>
    <col min="12" max="12" width="12" style="188" bestFit="1" customWidth="1"/>
    <col min="13" max="13" width="12" style="201" bestFit="1" customWidth="1"/>
    <col min="14" max="14" width="12.109375" style="202" customWidth="1"/>
    <col min="15" max="15" width="10.77734375" style="202" customWidth="1"/>
    <col min="16" max="16" width="11" style="132" bestFit="1" customWidth="1"/>
    <col min="17" max="17" width="10.109375" style="132" customWidth="1"/>
    <col min="18" max="18" width="12" style="188" customWidth="1"/>
    <col min="19" max="19" width="11" style="132" customWidth="1"/>
    <col min="20" max="20" width="10" style="132" bestFit="1" customWidth="1"/>
    <col min="21" max="21" width="10" style="132" customWidth="1"/>
    <col min="22" max="22" width="11" style="132" customWidth="1"/>
    <col min="23" max="23" width="4.109375" style="132" customWidth="1"/>
    <col min="24" max="24" width="11" style="132" customWidth="1"/>
    <col min="25" max="26" width="12" style="132" customWidth="1"/>
    <col min="27" max="27" width="12.33203125" style="216" customWidth="1"/>
    <col min="28" max="28" width="12.33203125" style="132" customWidth="1"/>
    <col min="29" max="29" width="9.6640625" style="202" customWidth="1"/>
    <col min="30" max="30" width="10.88671875" style="202" customWidth="1"/>
    <col min="31" max="31" width="12" style="132" bestFit="1" customWidth="1"/>
    <col min="32" max="32" width="11" style="132" customWidth="1"/>
    <col min="33" max="33" width="11.6640625" style="132" bestFit="1" customWidth="1"/>
    <col min="34" max="34" width="12.44140625" style="132" bestFit="1" customWidth="1"/>
    <col min="35" max="35" width="12.33203125" style="132" customWidth="1"/>
    <col min="36" max="36" width="18" style="134" customWidth="1"/>
    <col min="37" max="37" width="7.109375" style="133" bestFit="1" customWidth="1"/>
    <col min="38" max="38" width="7.109375" style="133" customWidth="1"/>
    <col min="39" max="41" width="7.109375" style="134" bestFit="1" customWidth="1"/>
    <col min="42" max="42" width="13.88671875" style="134" customWidth="1"/>
    <col min="43" max="43" width="28" style="134" customWidth="1"/>
    <col min="44" max="44" width="5" style="134" bestFit="1" customWidth="1"/>
    <col min="45" max="16384" width="9.33203125" style="132"/>
  </cols>
  <sheetData>
    <row r="1" spans="1:48" s="2" customFormat="1" ht="18" customHeight="1">
      <c r="B1" s="220" t="s">
        <v>180</v>
      </c>
      <c r="C1" s="118"/>
      <c r="D1" s="118" t="s">
        <v>139</v>
      </c>
      <c r="E1" s="1"/>
      <c r="F1" s="1"/>
      <c r="K1" s="5" t="s">
        <v>202</v>
      </c>
      <c r="L1" s="12"/>
      <c r="M1" s="125"/>
      <c r="N1" s="39"/>
      <c r="O1" s="39"/>
      <c r="P1" s="39"/>
      <c r="Q1" s="5" t="s">
        <v>187</v>
      </c>
      <c r="R1" s="12"/>
      <c r="V1" s="1" t="s">
        <v>204</v>
      </c>
      <c r="AC1" s="49"/>
      <c r="AD1" s="49"/>
      <c r="AJ1" s="55"/>
      <c r="AK1" s="1"/>
      <c r="AL1" s="1"/>
      <c r="AM1" s="55"/>
      <c r="AN1" s="55"/>
      <c r="AO1" s="55"/>
      <c r="AP1" s="55"/>
      <c r="AQ1" s="55"/>
      <c r="AR1" s="55"/>
    </row>
    <row r="2" spans="1:48" s="2" customFormat="1" ht="14.1" customHeight="1">
      <c r="B2" s="119" t="s">
        <v>179</v>
      </c>
      <c r="C2" s="5"/>
      <c r="D2" s="5" t="s">
        <v>181</v>
      </c>
      <c r="E2" s="1"/>
      <c r="F2" s="44"/>
      <c r="G2" s="40"/>
      <c r="H2" s="40"/>
      <c r="I2" s="1"/>
      <c r="J2" s="40"/>
      <c r="K2" s="5" t="s">
        <v>185</v>
      </c>
      <c r="L2" s="1"/>
      <c r="M2" s="126"/>
      <c r="N2" s="1"/>
      <c r="O2" s="1"/>
      <c r="P2" s="1"/>
      <c r="Q2" s="5" t="s">
        <v>188</v>
      </c>
      <c r="R2" s="13"/>
      <c r="V2" s="1" t="s">
        <v>190</v>
      </c>
      <c r="AC2" s="49"/>
      <c r="AD2" s="49"/>
      <c r="AJ2" s="55"/>
      <c r="AK2" s="1"/>
      <c r="AL2" s="1"/>
      <c r="AM2" s="55"/>
      <c r="AN2" s="55"/>
      <c r="AO2" s="55"/>
      <c r="AP2" s="55"/>
      <c r="AQ2" s="55"/>
      <c r="AR2" s="55"/>
    </row>
    <row r="3" spans="1:48" s="2" customFormat="1" ht="14.1" customHeight="1" thickBot="1">
      <c r="A3" s="53"/>
      <c r="B3" s="53"/>
      <c r="C3" s="4"/>
      <c r="D3" s="4" t="s">
        <v>182</v>
      </c>
      <c r="E3" s="4"/>
      <c r="F3" s="45"/>
      <c r="G3" s="41"/>
      <c r="H3" s="41"/>
      <c r="I3" s="4"/>
      <c r="J3" s="41"/>
      <c r="K3" s="4" t="s">
        <v>203</v>
      </c>
      <c r="L3" s="4"/>
      <c r="M3" s="127"/>
      <c r="N3" s="4"/>
      <c r="O3" s="4"/>
      <c r="P3" s="4"/>
      <c r="Q3" s="4" t="s">
        <v>189</v>
      </c>
      <c r="R3" s="15"/>
      <c r="S3" s="16"/>
      <c r="T3" s="16"/>
      <c r="U3" s="16"/>
      <c r="V3" s="4" t="s">
        <v>191</v>
      </c>
      <c r="W3" s="16"/>
      <c r="X3" s="16"/>
      <c r="Y3" s="16"/>
      <c r="Z3" s="16"/>
      <c r="AA3" s="16"/>
      <c r="AB3" s="16"/>
      <c r="AC3" s="41"/>
      <c r="AD3" s="41"/>
      <c r="AE3" s="16"/>
      <c r="AF3" s="16"/>
      <c r="AG3" s="16"/>
      <c r="AH3" s="16"/>
      <c r="AI3" s="16"/>
      <c r="AJ3" s="56"/>
      <c r="AK3" s="4"/>
      <c r="AL3" s="4"/>
      <c r="AM3" s="56"/>
      <c r="AN3" s="56"/>
      <c r="AO3" s="56"/>
      <c r="AP3" s="56"/>
      <c r="AQ3" s="56"/>
      <c r="AR3" s="56"/>
    </row>
    <row r="4" spans="1:48" s="17" customFormat="1" ht="12" customHeight="1">
      <c r="B4" s="54"/>
      <c r="C4" s="5"/>
      <c r="D4" s="5"/>
      <c r="E4" s="5"/>
      <c r="F4" s="3"/>
      <c r="G4" s="42"/>
      <c r="H4" s="42"/>
      <c r="I4" s="42"/>
      <c r="J4" s="42"/>
      <c r="K4" s="14"/>
      <c r="L4" s="14"/>
      <c r="M4" s="128"/>
      <c r="N4" s="42"/>
      <c r="O4" s="42"/>
      <c r="P4" s="42"/>
      <c r="Q4" s="42"/>
      <c r="R4" s="14"/>
      <c r="AC4" s="42"/>
      <c r="AD4" s="42"/>
      <c r="AJ4" s="57"/>
      <c r="AK4" s="5"/>
      <c r="AL4" s="5"/>
      <c r="AM4" s="57"/>
      <c r="AN4" s="57"/>
      <c r="AO4" s="57"/>
      <c r="AP4" s="57"/>
      <c r="AQ4" s="57"/>
      <c r="AR4" s="57"/>
    </row>
    <row r="5" spans="1:48" s="18" customFormat="1" ht="21" customHeight="1">
      <c r="B5" s="100" t="s">
        <v>330</v>
      </c>
      <c r="C5" s="46"/>
      <c r="D5" s="46"/>
      <c r="E5" s="46"/>
      <c r="F5" s="46"/>
      <c r="G5" s="43"/>
      <c r="H5" s="43"/>
      <c r="I5" s="43"/>
      <c r="J5" s="43"/>
      <c r="K5" s="19"/>
      <c r="L5" s="19"/>
      <c r="M5" s="129"/>
      <c r="N5" s="43"/>
      <c r="O5" s="43"/>
      <c r="P5" s="43"/>
      <c r="Q5" s="43"/>
      <c r="R5" s="19"/>
      <c r="S5" s="19"/>
      <c r="T5" s="19"/>
      <c r="U5" s="20"/>
      <c r="V5" s="19"/>
      <c r="W5" s="19"/>
      <c r="X5" s="19"/>
      <c r="Y5" s="19"/>
      <c r="Z5" s="19"/>
      <c r="AA5" s="19"/>
      <c r="AB5" s="19"/>
      <c r="AC5" s="19"/>
      <c r="AD5" s="19"/>
      <c r="AE5" s="240"/>
      <c r="AF5" s="19"/>
      <c r="AG5" s="19"/>
      <c r="AH5" s="19"/>
      <c r="AI5" s="19"/>
      <c r="AJ5" s="58"/>
      <c r="AK5" s="6"/>
      <c r="AL5" s="6"/>
      <c r="AM5" s="11"/>
      <c r="AN5" s="11"/>
      <c r="AO5" s="11"/>
      <c r="AP5" s="11"/>
      <c r="AQ5" s="11"/>
      <c r="AR5" s="11"/>
    </row>
    <row r="7" spans="1:48" s="135" customFormat="1" ht="12" customHeight="1">
      <c r="A7" s="305" t="s">
        <v>16</v>
      </c>
      <c r="B7" s="305" t="s">
        <v>67</v>
      </c>
      <c r="C7" s="305" t="s">
        <v>145</v>
      </c>
      <c r="D7" s="305" t="s">
        <v>101</v>
      </c>
      <c r="E7" s="305" t="s">
        <v>147</v>
      </c>
      <c r="F7" s="305" t="s">
        <v>72</v>
      </c>
      <c r="G7" s="232" t="s">
        <v>23</v>
      </c>
      <c r="H7" s="367" t="s">
        <v>103</v>
      </c>
      <c r="I7" s="367"/>
      <c r="J7" s="367"/>
      <c r="K7" s="368" t="s">
        <v>74</v>
      </c>
      <c r="L7" s="369"/>
      <c r="M7" s="370"/>
      <c r="N7" s="371" t="s">
        <v>75</v>
      </c>
      <c r="O7" s="372"/>
      <c r="P7" s="372"/>
      <c r="Q7" s="373"/>
      <c r="R7" s="232" t="s">
        <v>77</v>
      </c>
      <c r="S7" s="374" t="s">
        <v>177</v>
      </c>
      <c r="T7" s="375"/>
      <c r="U7" s="375"/>
      <c r="V7" s="232" t="s">
        <v>78</v>
      </c>
      <c r="W7" s="374" t="s">
        <v>176</v>
      </c>
      <c r="X7" s="375"/>
      <c r="Y7" s="375"/>
      <c r="Z7" s="232" t="s">
        <v>80</v>
      </c>
      <c r="AA7" s="305" t="s">
        <v>82</v>
      </c>
      <c r="AB7" s="232" t="s">
        <v>83</v>
      </c>
      <c r="AC7" s="366" t="s">
        <v>33</v>
      </c>
      <c r="AD7" s="366"/>
      <c r="AE7" s="233" t="s">
        <v>156</v>
      </c>
      <c r="AF7" s="304" t="s">
        <v>157</v>
      </c>
      <c r="AG7" s="304" t="s">
        <v>158</v>
      </c>
      <c r="AH7" s="304" t="s">
        <v>159</v>
      </c>
      <c r="AI7" s="304" t="s">
        <v>83</v>
      </c>
      <c r="AJ7" s="305"/>
      <c r="AK7" s="305"/>
      <c r="AL7" s="311"/>
      <c r="AM7" s="305"/>
      <c r="AN7" s="305"/>
      <c r="AO7" s="305"/>
      <c r="AP7" s="305"/>
      <c r="AQ7" s="305"/>
      <c r="AR7" s="305"/>
    </row>
    <row r="8" spans="1:48" s="130" customFormat="1" ht="24">
      <c r="A8" s="221" t="s">
        <v>73</v>
      </c>
      <c r="B8" s="221" t="s">
        <v>68</v>
      </c>
      <c r="C8" s="221" t="s">
        <v>146</v>
      </c>
      <c r="D8" s="221" t="s">
        <v>66</v>
      </c>
      <c r="E8" s="221" t="s">
        <v>85</v>
      </c>
      <c r="F8" s="221" t="s">
        <v>18</v>
      </c>
      <c r="G8" s="222" t="s">
        <v>24</v>
      </c>
      <c r="H8" s="223" t="s">
        <v>21</v>
      </c>
      <c r="I8" s="223" t="s">
        <v>22</v>
      </c>
      <c r="J8" s="223" t="s">
        <v>0</v>
      </c>
      <c r="K8" s="222" t="s">
        <v>149</v>
      </c>
      <c r="L8" s="222" t="s">
        <v>151</v>
      </c>
      <c r="M8" s="221" t="s">
        <v>152</v>
      </c>
      <c r="N8" s="221" t="s">
        <v>331</v>
      </c>
      <c r="O8" s="221" t="s">
        <v>360</v>
      </c>
      <c r="P8" s="221" t="s">
        <v>153</v>
      </c>
      <c r="Q8" s="221" t="s">
        <v>76</v>
      </c>
      <c r="R8" s="222" t="s">
        <v>24</v>
      </c>
      <c r="S8" s="224" t="s">
        <v>25</v>
      </c>
      <c r="T8" s="224" t="s">
        <v>26</v>
      </c>
      <c r="U8" s="224" t="s">
        <v>27</v>
      </c>
      <c r="V8" s="225" t="s">
        <v>79</v>
      </c>
      <c r="W8" s="221" t="s">
        <v>88</v>
      </c>
      <c r="X8" s="222" t="s">
        <v>4</v>
      </c>
      <c r="Y8" s="222" t="s">
        <v>3</v>
      </c>
      <c r="Z8" s="225" t="s">
        <v>81</v>
      </c>
      <c r="AA8" s="226" t="s">
        <v>84</v>
      </c>
      <c r="AB8" s="226" t="s">
        <v>1</v>
      </c>
      <c r="AC8" s="221" t="s">
        <v>34</v>
      </c>
      <c r="AD8" s="221" t="s">
        <v>35</v>
      </c>
      <c r="AE8" s="221" t="s">
        <v>155</v>
      </c>
      <c r="AF8" s="221" t="s">
        <v>40</v>
      </c>
      <c r="AG8" s="221" t="s">
        <v>28</v>
      </c>
      <c r="AH8" s="221" t="s">
        <v>48</v>
      </c>
      <c r="AI8" s="221" t="s">
        <v>1</v>
      </c>
      <c r="AJ8" s="225" t="s">
        <v>86</v>
      </c>
      <c r="AK8" s="225" t="s">
        <v>96</v>
      </c>
      <c r="AL8" s="225" t="s">
        <v>361</v>
      </c>
      <c r="AM8" s="225" t="s">
        <v>97</v>
      </c>
      <c r="AN8" s="225" t="s">
        <v>109</v>
      </c>
      <c r="AO8" s="225" t="s">
        <v>183</v>
      </c>
      <c r="AP8" s="225" t="s">
        <v>110</v>
      </c>
      <c r="AQ8" s="225" t="s">
        <v>111</v>
      </c>
      <c r="AR8" s="226" t="s">
        <v>184</v>
      </c>
    </row>
    <row r="9" spans="1:48" s="155" customFormat="1" ht="12" customHeight="1">
      <c r="A9" s="136"/>
      <c r="B9" s="136"/>
      <c r="C9" s="136"/>
      <c r="D9" s="136"/>
      <c r="E9" s="136"/>
      <c r="F9" s="136"/>
      <c r="G9" s="137"/>
      <c r="H9" s="138"/>
      <c r="I9" s="138"/>
      <c r="J9" s="138"/>
      <c r="K9" s="139"/>
      <c r="L9" s="139"/>
      <c r="M9" s="140"/>
      <c r="N9" s="141"/>
      <c r="O9" s="141"/>
      <c r="P9" s="136"/>
      <c r="Q9" s="136"/>
      <c r="R9" s="142" t="s">
        <v>29</v>
      </c>
      <c r="S9" s="143">
        <f>Assu!$C$3</f>
        <v>0.08</v>
      </c>
      <c r="T9" s="143">
        <f>Assu!$C$4</f>
        <v>1.4999999999999999E-2</v>
      </c>
      <c r="U9" s="143">
        <f>Assu!$C$5</f>
        <v>0.01</v>
      </c>
      <c r="V9" s="142" t="s">
        <v>30</v>
      </c>
      <c r="W9" s="144"/>
      <c r="X9" s="145">
        <v>4400000</v>
      </c>
      <c r="Y9" s="145">
        <v>11000000</v>
      </c>
      <c r="Z9" s="146" t="s">
        <v>31</v>
      </c>
      <c r="AA9" s="147" t="s">
        <v>32</v>
      </c>
      <c r="AB9" s="147" t="s">
        <v>36</v>
      </c>
      <c r="AC9" s="148" t="s">
        <v>37</v>
      </c>
      <c r="AD9" s="148" t="s">
        <v>38</v>
      </c>
      <c r="AE9" s="149" t="s">
        <v>39</v>
      </c>
      <c r="AF9" s="150">
        <f>SUM(Assu!$B$3:$B$6)</f>
        <v>0.23499999999999999</v>
      </c>
      <c r="AG9" s="151">
        <f>SUM(S9:U9)+AF9</f>
        <v>0.33999999999999997</v>
      </c>
      <c r="AH9" s="151">
        <v>1</v>
      </c>
      <c r="AI9" s="151"/>
      <c r="AJ9" s="152"/>
      <c r="AK9" s="136"/>
      <c r="AL9" s="136"/>
      <c r="AM9" s="152"/>
      <c r="AN9" s="152"/>
      <c r="AO9" s="152"/>
      <c r="AP9" s="153"/>
      <c r="AQ9" s="153"/>
      <c r="AR9" s="153"/>
      <c r="AS9" s="154"/>
      <c r="AV9" s="154"/>
    </row>
    <row r="10" spans="1:48">
      <c r="A10" s="156">
        <v>1</v>
      </c>
      <c r="B10" s="157" t="s">
        <v>19</v>
      </c>
      <c r="C10" s="152" t="s">
        <v>148</v>
      </c>
      <c r="D10" s="152" t="s">
        <v>162</v>
      </c>
      <c r="E10" s="152">
        <v>40848</v>
      </c>
      <c r="F10" s="158" t="s">
        <v>64</v>
      </c>
      <c r="G10" s="238">
        <v>0</v>
      </c>
      <c r="H10" s="287">
        <v>25</v>
      </c>
      <c r="I10" s="287">
        <v>0</v>
      </c>
      <c r="J10" s="287">
        <f>H10+I10</f>
        <v>25</v>
      </c>
      <c r="K10" s="242">
        <f t="shared" ref="K10:K38" si="0">G10/H10*J10</f>
        <v>0</v>
      </c>
      <c r="L10" s="242">
        <v>50000000</v>
      </c>
      <c r="M10" s="162">
        <f>SUM(K10:L10)</f>
        <v>50000000</v>
      </c>
      <c r="N10" s="308">
        <f>(50000000/12*12)</f>
        <v>50000000</v>
      </c>
      <c r="O10" s="50">
        <v>1000000</v>
      </c>
      <c r="P10" s="50"/>
      <c r="Q10" s="159"/>
      <c r="R10" s="164">
        <f>SUM(M10:Q10)</f>
        <v>101000000</v>
      </c>
      <c r="S10" s="165">
        <f>(MIN(VALUE($G10),Assu!$E$3))*S$9</f>
        <v>0</v>
      </c>
      <c r="T10" s="165">
        <f>(MIN(VALUE($G10),Assu!$E$3))*T$9</f>
        <v>0</v>
      </c>
      <c r="U10" s="165">
        <f>(MIN(VALUE($G10),Assu!$E$5))*U$9</f>
        <v>0</v>
      </c>
      <c r="V10" s="159">
        <f>SUM(S10:U10)</f>
        <v>0</v>
      </c>
      <c r="W10" s="159">
        <v>0</v>
      </c>
      <c r="X10" s="159">
        <f>W10*$X$9</f>
        <v>0</v>
      </c>
      <c r="Y10" s="159">
        <f>IF(VALUE(R10)=0,0,$Y$9)</f>
        <v>11000000</v>
      </c>
      <c r="Z10" s="159">
        <f>SUM(X10:Y10)</f>
        <v>11000000</v>
      </c>
      <c r="AA10" s="159">
        <f>IF((R10-V10-Z10)&lt;0,0,(R10-V10-Z10))</f>
        <v>90000000</v>
      </c>
      <c r="AB10" s="164">
        <f>IF(AND(AA10&lt;10000000,AA10&gt;5000000),AA10*10%-250000,IF(AND(AA10&lt;18000000,AA10&gt;10000000),AA10*15%-750000,IF(AND(AA10&lt;32000000,AA10&gt;18000000),AA10*20%-1650000,IF(AND(AA10&lt;52000000,AA10&gt;32000000),AA10*25%-3250000,IF(AND(AA10&lt;80000000,AA10&gt;52000000),AA10*30%-5850000,IF(AA10&gt;80000000,AA10*35%-9850000,AA10*5%))))))</f>
        <v>21649999.999999996</v>
      </c>
      <c r="AC10" s="159"/>
      <c r="AD10" s="166"/>
      <c r="AE10" s="170">
        <f>R10-V10-AC10+AD10</f>
        <v>101000000</v>
      </c>
      <c r="AF10" s="165">
        <f>(MIN(VALUE($G10),Assu!$E$3))*AF$9</f>
        <v>0</v>
      </c>
      <c r="AG10" s="165">
        <f>(MIN(VALUE($G10),Assu!$E$3))*AG$9</f>
        <v>0</v>
      </c>
      <c r="AH10" s="165">
        <f>R10*$AH$9/12</f>
        <v>8416666.666666666</v>
      </c>
      <c r="AI10" s="165">
        <f>AB10</f>
        <v>21649999.999999996</v>
      </c>
      <c r="AJ10" s="48" t="s">
        <v>332</v>
      </c>
      <c r="AK10" s="48" t="s">
        <v>337</v>
      </c>
      <c r="AL10" s="48" t="s">
        <v>362</v>
      </c>
      <c r="AM10" s="153"/>
      <c r="AN10" s="52"/>
      <c r="AO10" s="48"/>
      <c r="AP10" s="123" t="s">
        <v>219</v>
      </c>
      <c r="AQ10" s="168" t="s">
        <v>205</v>
      </c>
      <c r="AR10" s="168" t="s">
        <v>161</v>
      </c>
    </row>
    <row r="11" spans="1:48">
      <c r="A11" s="156">
        <v>2</v>
      </c>
      <c r="B11" s="157" t="s">
        <v>89</v>
      </c>
      <c r="C11" s="152" t="s">
        <v>148</v>
      </c>
      <c r="D11" s="152" t="s">
        <v>150</v>
      </c>
      <c r="E11" s="152">
        <v>40848</v>
      </c>
      <c r="F11" s="158" t="s">
        <v>90</v>
      </c>
      <c r="G11" s="238">
        <v>20000000</v>
      </c>
      <c r="H11" s="287">
        <v>25</v>
      </c>
      <c r="I11" s="287">
        <v>0</v>
      </c>
      <c r="J11" s="287">
        <f t="shared" ref="J11:J39" si="1">H11+I11</f>
        <v>25</v>
      </c>
      <c r="K11" s="242">
        <f t="shared" si="0"/>
        <v>20000000</v>
      </c>
      <c r="L11" s="50">
        <v>37000000</v>
      </c>
      <c r="M11" s="162">
        <f>SUM(K11:L11)</f>
        <v>57000000</v>
      </c>
      <c r="N11" s="51">
        <f>(57000000/12*12)</f>
        <v>57000000</v>
      </c>
      <c r="O11" s="50">
        <v>1000000</v>
      </c>
      <c r="P11" s="50"/>
      <c r="Q11" s="159"/>
      <c r="R11" s="164">
        <f t="shared" ref="R11:R29" si="2">SUM(M11:Q11)</f>
        <v>115000000</v>
      </c>
      <c r="S11" s="165">
        <f>(MIN(VALUE($G11),Assu!$E$3))*S$9</f>
        <v>1600000</v>
      </c>
      <c r="T11" s="165">
        <f>(MIN(VALUE($G11),Assu!$E$3))*T$9</f>
        <v>300000</v>
      </c>
      <c r="U11" s="165">
        <f>(MIN(VALUE($G11),Assu!$E$5))*U$9</f>
        <v>200000</v>
      </c>
      <c r="V11" s="159">
        <f>SUM(S11:U11)</f>
        <v>2100000</v>
      </c>
      <c r="W11" s="159">
        <v>1</v>
      </c>
      <c r="X11" s="159">
        <f t="shared" ref="X11:X39" si="3">W11*$X$9</f>
        <v>4400000</v>
      </c>
      <c r="Y11" s="159">
        <f t="shared" ref="Y11:Y33" si="4">IF(VALUE(R11)=0,0,$Y$9)</f>
        <v>11000000</v>
      </c>
      <c r="Z11" s="159">
        <f t="shared" ref="Z11:Z39" si="5">SUM(X11:Y11)</f>
        <v>15400000</v>
      </c>
      <c r="AA11" s="159">
        <f>IF((R11-V12-Z11)&lt;0,0,(R11-V12-Z11))</f>
        <v>99600000</v>
      </c>
      <c r="AB11" s="164">
        <f>IF(AND(AA11&lt;10000000,AA11&gt;5000000),AA11*10%-250000,IF(AND(AA11&lt;18000000,AA11&gt;10000000),AA11*15%-750000,IF(AND(AA11&lt;32000000,AA11&gt;18000000),AA11*20%-1650000,IF(AND(AA11&lt;52000000,AA11&gt;32000000),AA11*25%-3250000,IF(AND(AA11&lt;80000000,AA11&gt;52000000),AA11*30%-5850000,IF(AA11&gt;80000000,AA11*35%-9850000,AA11*5%))))))</f>
        <v>25010000</v>
      </c>
      <c r="AC11" s="159"/>
      <c r="AD11" s="166">
        <v>3383750</v>
      </c>
      <c r="AE11" s="164">
        <f t="shared" ref="AE11:AE20" si="6">R11-V11-AB11-AC11+AD11</f>
        <v>91273750</v>
      </c>
      <c r="AF11" s="165">
        <f>(MIN(VALUE($G11),Assu!$E$3))*AF$9</f>
        <v>4700000</v>
      </c>
      <c r="AG11" s="165">
        <f>(MIN(VALUE($G11),Assu!$E$3))*AG$9</f>
        <v>6799999.9999999991</v>
      </c>
      <c r="AH11" s="165">
        <f>R11*$AH$9/12</f>
        <v>9583333.333333334</v>
      </c>
      <c r="AI11" s="165">
        <f t="shared" ref="AI11:AI38" si="7">AB11</f>
        <v>25010000</v>
      </c>
      <c r="AJ11" s="48" t="s">
        <v>332</v>
      </c>
      <c r="AK11" s="48" t="s">
        <v>338</v>
      </c>
      <c r="AL11" s="48" t="s">
        <v>362</v>
      </c>
      <c r="AM11" s="159"/>
      <c r="AN11" s="52"/>
      <c r="AO11" s="48" t="s">
        <v>357</v>
      </c>
      <c r="AP11" s="123" t="s">
        <v>218</v>
      </c>
      <c r="AQ11" s="168" t="s">
        <v>140</v>
      </c>
      <c r="AR11" s="168" t="s">
        <v>160</v>
      </c>
      <c r="AV11" s="169"/>
    </row>
    <row r="12" spans="1:48">
      <c r="A12" s="156">
        <v>3</v>
      </c>
      <c r="B12" s="157" t="s">
        <v>49</v>
      </c>
      <c r="C12" s="152" t="s">
        <v>148</v>
      </c>
      <c r="D12" s="152" t="s">
        <v>163</v>
      </c>
      <c r="E12" s="152">
        <v>41334</v>
      </c>
      <c r="F12" s="158" t="s">
        <v>65</v>
      </c>
      <c r="G12" s="238">
        <v>0</v>
      </c>
      <c r="H12" s="287">
        <v>25</v>
      </c>
      <c r="I12" s="287">
        <v>0</v>
      </c>
      <c r="J12" s="287">
        <f t="shared" si="1"/>
        <v>25</v>
      </c>
      <c r="K12" s="242">
        <f t="shared" si="0"/>
        <v>0</v>
      </c>
      <c r="L12" s="50">
        <f>16800000</f>
        <v>16800000</v>
      </c>
      <c r="M12" s="162">
        <f t="shared" ref="M12:M39" si="8">SUM(K12:L12)</f>
        <v>16800000</v>
      </c>
      <c r="N12" s="51">
        <f>(16800000/12*12)</f>
        <v>16800000</v>
      </c>
      <c r="O12" s="50">
        <v>1000000</v>
      </c>
      <c r="P12" s="50"/>
      <c r="Q12" s="159"/>
      <c r="R12" s="164">
        <f t="shared" si="2"/>
        <v>34600000</v>
      </c>
      <c r="S12" s="165">
        <f>(MIN(VALUE($G12),Assu!$E$3))*S$9</f>
        <v>0</v>
      </c>
      <c r="T12" s="165">
        <f>(MIN(VALUE($G12),Assu!$E$3))*T$9</f>
        <v>0</v>
      </c>
      <c r="U12" s="165">
        <f>(MIN(VALUE($G12),Assu!$E$5))*U$9</f>
        <v>0</v>
      </c>
      <c r="V12" s="159">
        <f>SUM(S12:U12)</f>
        <v>0</v>
      </c>
      <c r="W12" s="159">
        <v>0</v>
      </c>
      <c r="X12" s="159">
        <f t="shared" si="3"/>
        <v>0</v>
      </c>
      <c r="Y12" s="159">
        <f t="shared" si="4"/>
        <v>11000000</v>
      </c>
      <c r="Z12" s="159">
        <f t="shared" si="5"/>
        <v>11000000</v>
      </c>
      <c r="AA12" s="159">
        <f>IF((R12-V21-Z12)&lt;0,0,(R12-V21-Z12))</f>
        <v>22497500</v>
      </c>
      <c r="AB12" s="164">
        <f>IF(AND(AA12&lt;10000000,AA12&gt;5000000),AA12*10%-250000,IF(AND(AA12&lt;18000000,AA12&gt;10000000),AA12*15%-750000,IF(AND(AA12&lt;32000000,AA12&gt;18000000),AA12*20%-1650000,IF(AND(AA12&lt;52000000,AA12&gt;32000000),AA12*25%-3250000,IF(AND(AA12&lt;80000000,AA12&gt;52000000),AA12*30%-5850000,IF(AA12&gt;80000000,AA12*35%-9850000,AA12*5%))))))</f>
        <v>2849500</v>
      </c>
      <c r="AC12" s="159"/>
      <c r="AD12" s="166">
        <v>1215000</v>
      </c>
      <c r="AE12" s="164">
        <f t="shared" si="6"/>
        <v>32965500</v>
      </c>
      <c r="AF12" s="165">
        <f>(MIN(VALUE($G12),Assu!$E$3))*AF$9</f>
        <v>0</v>
      </c>
      <c r="AG12" s="165">
        <f>(MIN(VALUE($G12),Assu!$E$3))*AG$9</f>
        <v>0</v>
      </c>
      <c r="AH12" s="165">
        <f t="shared" ref="AH12:AH40" si="9">R12*$AH$9/12</f>
        <v>2883333.3333333335</v>
      </c>
      <c r="AI12" s="165">
        <f t="shared" si="7"/>
        <v>2849500</v>
      </c>
      <c r="AJ12" s="48" t="s">
        <v>332</v>
      </c>
      <c r="AK12" s="48" t="s">
        <v>339</v>
      </c>
      <c r="AL12" s="48" t="s">
        <v>362</v>
      </c>
      <c r="AM12" s="153"/>
      <c r="AN12" s="52"/>
      <c r="AO12" s="48" t="s">
        <v>357</v>
      </c>
      <c r="AP12" s="123" t="s">
        <v>220</v>
      </c>
      <c r="AQ12" s="168" t="s">
        <v>140</v>
      </c>
      <c r="AR12" s="168" t="s">
        <v>161</v>
      </c>
      <c r="AV12" s="169"/>
    </row>
    <row r="13" spans="1:48">
      <c r="A13" s="156">
        <v>4</v>
      </c>
      <c r="B13" s="157" t="s">
        <v>114</v>
      </c>
      <c r="C13" s="244" t="s">
        <v>168</v>
      </c>
      <c r="D13" s="227" t="s">
        <v>169</v>
      </c>
      <c r="E13" s="124">
        <v>42492</v>
      </c>
      <c r="F13" s="247" t="s">
        <v>115</v>
      </c>
      <c r="G13" s="238">
        <v>9400000</v>
      </c>
      <c r="H13" s="287">
        <v>25</v>
      </c>
      <c r="I13" s="287">
        <v>0</v>
      </c>
      <c r="J13" s="287">
        <f t="shared" si="1"/>
        <v>25</v>
      </c>
      <c r="K13" s="161">
        <f t="shared" si="0"/>
        <v>9400000</v>
      </c>
      <c r="L13" s="50"/>
      <c r="M13" s="162">
        <f t="shared" si="8"/>
        <v>9400000</v>
      </c>
      <c r="N13" s="51">
        <f>(9400000/12*12)</f>
        <v>9400000</v>
      </c>
      <c r="O13" s="50">
        <v>1000000</v>
      </c>
      <c r="P13" s="50"/>
      <c r="Q13" s="172"/>
      <c r="R13" s="164">
        <f t="shared" si="2"/>
        <v>19800000</v>
      </c>
      <c r="S13" s="165">
        <f>(MIN(VALUE($G13),Assu!$E$3))*S$9</f>
        <v>752000</v>
      </c>
      <c r="T13" s="165">
        <f>(MIN(VALUE($G13),Assu!$E$3))*T$9</f>
        <v>141000</v>
      </c>
      <c r="U13" s="165">
        <f>(MIN(VALUE($G13),Assu!$E$5))*U$9</f>
        <v>94000</v>
      </c>
      <c r="V13" s="159">
        <f t="shared" ref="V13" si="10">SUM(S13:U13)</f>
        <v>987000</v>
      </c>
      <c r="W13" s="159">
        <v>0</v>
      </c>
      <c r="X13" s="159">
        <f t="shared" si="3"/>
        <v>0</v>
      </c>
      <c r="Y13" s="159">
        <f t="shared" si="4"/>
        <v>11000000</v>
      </c>
      <c r="Z13" s="159">
        <f t="shared" si="5"/>
        <v>11000000</v>
      </c>
      <c r="AA13" s="159">
        <f t="shared" ref="AA13" si="11">IF((R13-V13-Z13)&lt;0,0,(R13-V13-Z13))</f>
        <v>7813000</v>
      </c>
      <c r="AB13" s="164">
        <f t="shared" ref="AB13" si="12">IF(AND(AA13&lt;10000000,AA13&gt;5000000),AA13*10%-250000,IF(AND(AA13&lt;18000000,AA13&gt;10000000),AA13*15%-750000,IF(AND(AA13&lt;32000000,AA13&gt;18000000),AA13*20%-1650000,IF(AND(AA13&lt;52000000,AA13&gt;32000000),AA13*25%-3250000,IF(AND(AA13&lt;80000000,AA13&gt;52000000),AA13*30%-5850000,IF(AA13&gt;80000000,AA13*35%-9850000,AA13*5%))))))</f>
        <v>531300</v>
      </c>
      <c r="AC13" s="159"/>
      <c r="AD13" s="166">
        <v>682375</v>
      </c>
      <c r="AE13" s="164">
        <f t="shared" si="6"/>
        <v>18964075</v>
      </c>
      <c r="AF13" s="165">
        <f>(MIN(VALUE($G13),Assu!$E$3))*AF$9</f>
        <v>2209000</v>
      </c>
      <c r="AG13" s="165">
        <f>(MIN(VALUE($G13),Assu!$E$3))*AG$9</f>
        <v>3195999.9999999995</v>
      </c>
      <c r="AH13" s="165">
        <f t="shared" si="9"/>
        <v>1650000</v>
      </c>
      <c r="AI13" s="165">
        <f t="shared" si="7"/>
        <v>531300</v>
      </c>
      <c r="AJ13" s="48"/>
      <c r="AK13" s="48" t="s">
        <v>340</v>
      </c>
      <c r="AL13" s="48" t="s">
        <v>362</v>
      </c>
      <c r="AM13" s="48"/>
      <c r="AN13" s="52"/>
      <c r="AO13" s="48" t="s">
        <v>357</v>
      </c>
      <c r="AP13" s="123" t="s">
        <v>223</v>
      </c>
      <c r="AQ13" s="168" t="s">
        <v>201</v>
      </c>
      <c r="AR13" s="168" t="s">
        <v>160</v>
      </c>
      <c r="AV13" s="169"/>
    </row>
    <row r="14" spans="1:48">
      <c r="A14" s="156">
        <v>5</v>
      </c>
      <c r="B14" s="157" t="s">
        <v>122</v>
      </c>
      <c r="C14" s="244" t="s">
        <v>168</v>
      </c>
      <c r="D14" s="152" t="s">
        <v>170</v>
      </c>
      <c r="E14" s="152">
        <v>42114</v>
      </c>
      <c r="F14" s="158" t="s">
        <v>123</v>
      </c>
      <c r="G14" s="239">
        <v>13500000</v>
      </c>
      <c r="H14" s="287">
        <v>25</v>
      </c>
      <c r="I14" s="287">
        <v>0</v>
      </c>
      <c r="J14" s="287">
        <f t="shared" si="1"/>
        <v>25</v>
      </c>
      <c r="K14" s="161">
        <v>0</v>
      </c>
      <c r="L14" s="50"/>
      <c r="M14" s="162">
        <f t="shared" si="8"/>
        <v>0</v>
      </c>
      <c r="N14" s="51">
        <f>(13500000/12*12)</f>
        <v>13500000</v>
      </c>
      <c r="O14" s="50">
        <v>1000000</v>
      </c>
      <c r="P14" s="248">
        <v>1380247</v>
      </c>
      <c r="Q14" s="159"/>
      <c r="R14" s="164">
        <f t="shared" si="2"/>
        <v>15880247</v>
      </c>
      <c r="S14" s="165"/>
      <c r="T14" s="165"/>
      <c r="U14" s="165"/>
      <c r="V14" s="159">
        <f>SUM(S14:U14)</f>
        <v>0</v>
      </c>
      <c r="W14" s="159">
        <v>1</v>
      </c>
      <c r="X14" s="159">
        <f>W14*$X$9</f>
        <v>4400000</v>
      </c>
      <c r="Y14" s="159">
        <f>IF(VALUE(R14)=0,0,$Y$9)</f>
        <v>11000000</v>
      </c>
      <c r="Z14" s="159">
        <f>SUM(X14:Y14)</f>
        <v>15400000</v>
      </c>
      <c r="AA14" s="159">
        <f>IF((R14-V14-Z14)&lt;0,0,(R14-V14-Z14))</f>
        <v>480247</v>
      </c>
      <c r="AB14" s="164">
        <f>IF(AND(AA14&lt;10000000,AA14&gt;5000000),AA14*10%-250000,IF(AND(AA14&lt;18000000,AA14&gt;10000000),AA14*15%-750000,IF(AND(AA14&lt;32000000,AA14&gt;18000000),AA14*20%-1650000,IF(AND(AA14&lt;52000000,AA14&gt;32000000),AA14*25%-3250000,IF(AND(AA14&lt;80000000,AA14&gt;52000000),AA14*30%-5850000,IF(AA14&gt;80000000,AA14*35%-9850000,AA14*5%))))))</f>
        <v>24012.350000000002</v>
      </c>
      <c r="AC14" s="159"/>
      <c r="AD14" s="166">
        <v>428764</v>
      </c>
      <c r="AE14" s="164">
        <f t="shared" si="6"/>
        <v>16284998.65</v>
      </c>
      <c r="AF14" s="165"/>
      <c r="AG14" s="165"/>
      <c r="AH14" s="165">
        <f>R14*$AH$9/12</f>
        <v>1323353.9166666667</v>
      </c>
      <c r="AI14" s="165">
        <f>AB14</f>
        <v>24012.350000000002</v>
      </c>
      <c r="AJ14" s="48"/>
      <c r="AK14" s="48" t="s">
        <v>341</v>
      </c>
      <c r="AL14" s="48" t="s">
        <v>362</v>
      </c>
      <c r="AM14" s="48" t="s">
        <v>333</v>
      </c>
      <c r="AN14" s="52"/>
      <c r="AO14" s="48" t="s">
        <v>357</v>
      </c>
      <c r="AP14" s="123" t="s">
        <v>229</v>
      </c>
      <c r="AQ14" s="168" t="s">
        <v>141</v>
      </c>
      <c r="AR14" s="168" t="s">
        <v>160</v>
      </c>
    </row>
    <row r="15" spans="1:48">
      <c r="A15" s="156">
        <v>6</v>
      </c>
      <c r="B15" s="243" t="s">
        <v>280</v>
      </c>
      <c r="C15" s="244" t="s">
        <v>168</v>
      </c>
      <c r="D15" s="152" t="s">
        <v>170</v>
      </c>
      <c r="E15" s="152">
        <v>43619</v>
      </c>
      <c r="F15" s="158" t="s">
        <v>281</v>
      </c>
      <c r="G15" s="239">
        <v>6500000</v>
      </c>
      <c r="H15" s="287">
        <v>25</v>
      </c>
      <c r="I15" s="287">
        <v>0</v>
      </c>
      <c r="J15" s="287">
        <f t="shared" si="1"/>
        <v>25</v>
      </c>
      <c r="K15" s="161">
        <f>G15/H15*J15</f>
        <v>6500000</v>
      </c>
      <c r="L15" s="50">
        <v>650000</v>
      </c>
      <c r="M15" s="162">
        <f t="shared" si="8"/>
        <v>7150000</v>
      </c>
      <c r="N15" s="51">
        <f>(6500000/12*9)+(7150000/12*3)</f>
        <v>6662500</v>
      </c>
      <c r="O15" s="50">
        <v>1000000</v>
      </c>
      <c r="P15" s="248"/>
      <c r="Q15" s="159"/>
      <c r="R15" s="164">
        <f t="shared" si="2"/>
        <v>14812500</v>
      </c>
      <c r="S15" s="165">
        <f>(MIN(VALUE($G15),Assu!$E$3))*S$9</f>
        <v>520000</v>
      </c>
      <c r="T15" s="165">
        <f>(MIN(VALUE($G15),Assu!$E$3))*T$9</f>
        <v>97500</v>
      </c>
      <c r="U15" s="165">
        <f>(MIN(VALUE($G15),Assu!$E$5))*U$9</f>
        <v>65000</v>
      </c>
      <c r="V15" s="159">
        <f>SUM(S15:U15)</f>
        <v>682500</v>
      </c>
      <c r="W15" s="159">
        <v>0</v>
      </c>
      <c r="X15" s="159">
        <f>W15*$X$9</f>
        <v>0</v>
      </c>
      <c r="Y15" s="159">
        <f>IF(VALUE(R15)=0,0,$Y$9)</f>
        <v>11000000</v>
      </c>
      <c r="Z15" s="159">
        <f>SUM(X15:Y15)</f>
        <v>11000000</v>
      </c>
      <c r="AA15" s="159">
        <f>IF((R15-V15-Z15)&lt;0,0,(R15-V15-Z15))</f>
        <v>3130000</v>
      </c>
      <c r="AB15" s="164">
        <f>IF(AND(AA15&lt;10000000,AA15&gt;5000000),AA15*10%-250000,IF(AND(AA15&lt;18000000,AA15&gt;10000000),AA15*15%-750000,IF(AND(AA15&lt;32000000,AA15&gt;18000000),AA15*20%-1650000,IF(AND(AA15&lt;52000000,AA15&gt;32000000),AA15*25%-3250000,IF(AND(AA15&lt;80000000,AA15&gt;52000000),AA15*30%-5850000,IF(AA15&gt;80000000,AA15*35%-9850000,AA15*5%))))))</f>
        <v>156500</v>
      </c>
      <c r="AC15" s="159"/>
      <c r="AD15" s="166"/>
      <c r="AE15" s="164">
        <f t="shared" si="6"/>
        <v>13973500</v>
      </c>
      <c r="AF15" s="165">
        <f>(MIN(VALUE($G15),Assu!$E$3))*AF$9</f>
        <v>1527500</v>
      </c>
      <c r="AG15" s="165">
        <f>(MIN(VALUE($G15),Assu!$E$3))*AG$9</f>
        <v>2210000</v>
      </c>
      <c r="AH15" s="165">
        <f>R15*$AH$9/12</f>
        <v>1234375</v>
      </c>
      <c r="AI15" s="165">
        <f>AB15</f>
        <v>156500</v>
      </c>
      <c r="AJ15" s="48" t="s">
        <v>332</v>
      </c>
      <c r="AK15" s="48" t="s">
        <v>342</v>
      </c>
      <c r="AL15" s="48" t="s">
        <v>362</v>
      </c>
      <c r="AM15" s="48" t="s">
        <v>333</v>
      </c>
      <c r="AN15" s="52"/>
      <c r="AO15" s="48"/>
      <c r="AP15" s="123" t="s">
        <v>329</v>
      </c>
      <c r="AQ15" s="168" t="s">
        <v>141</v>
      </c>
      <c r="AR15" s="168" t="s">
        <v>160</v>
      </c>
    </row>
    <row r="16" spans="1:48">
      <c r="A16" s="156">
        <v>7</v>
      </c>
      <c r="B16" s="157" t="s">
        <v>120</v>
      </c>
      <c r="C16" s="244" t="s">
        <v>168</v>
      </c>
      <c r="D16" s="227" t="s">
        <v>194</v>
      </c>
      <c r="E16" s="124">
        <v>40848</v>
      </c>
      <c r="F16" s="247" t="s">
        <v>121</v>
      </c>
      <c r="G16" s="239">
        <v>16000000</v>
      </c>
      <c r="H16" s="287">
        <v>25</v>
      </c>
      <c r="I16" s="287">
        <v>0</v>
      </c>
      <c r="J16" s="287">
        <f t="shared" si="1"/>
        <v>25</v>
      </c>
      <c r="K16" s="161">
        <f t="shared" ref="K16:K17" si="13">G16/H16*J16</f>
        <v>16000000</v>
      </c>
      <c r="L16" s="51"/>
      <c r="M16" s="162">
        <f t="shared" ref="M16:M21" si="14">SUM(K16:L16)</f>
        <v>16000000</v>
      </c>
      <c r="N16" s="51">
        <f>(16000000/12*12)</f>
        <v>16000000</v>
      </c>
      <c r="O16" s="50">
        <v>1000000</v>
      </c>
      <c r="P16" s="172"/>
      <c r="Q16" s="172">
        <v>500000</v>
      </c>
      <c r="R16" s="164">
        <f t="shared" si="2"/>
        <v>33500000</v>
      </c>
      <c r="S16" s="165">
        <f>(MIN(VALUE($G16),Assu!$E$3))*S$9</f>
        <v>1280000</v>
      </c>
      <c r="T16" s="165">
        <f>(MIN(VALUE($G16),Assu!$E$3))*T$9</f>
        <v>240000</v>
      </c>
      <c r="U16" s="165">
        <f>(MIN(VALUE($G16),Assu!$E$5))*U$9</f>
        <v>160000</v>
      </c>
      <c r="V16" s="159">
        <f t="shared" ref="V16:V17" si="15">SUM(S16:U16)</f>
        <v>1680000</v>
      </c>
      <c r="W16" s="159">
        <v>1</v>
      </c>
      <c r="X16" s="159">
        <f t="shared" ref="X16:X17" si="16">W16*$X$9</f>
        <v>4400000</v>
      </c>
      <c r="Y16" s="159">
        <f t="shared" ref="Y16:Y17" si="17">IF(VALUE(R16)=0,0,$Y$9)</f>
        <v>11000000</v>
      </c>
      <c r="Z16" s="159">
        <f t="shared" ref="Z16:Z17" si="18">SUM(X16:Y16)</f>
        <v>15400000</v>
      </c>
      <c r="AA16" s="159">
        <f t="shared" ref="AA16:AA17" si="19">IF((R16-V16-Z16)&lt;0,0,(R16-V16-Z16))</f>
        <v>16420000</v>
      </c>
      <c r="AB16" s="164">
        <f t="shared" ref="AB16:AB17" si="20">IF(AND(AA16&lt;10000000,AA16&gt;5000000),AA16*10%-250000,IF(AND(AA16&lt;18000000,AA16&gt;10000000),AA16*15%-750000,IF(AND(AA16&lt;32000000,AA16&gt;18000000),AA16*20%-1650000,IF(AND(AA16&lt;52000000,AA16&gt;32000000),AA16*25%-3250000,IF(AND(AA16&lt;80000000,AA16&gt;52000000),AA16*30%-5850000,IF(AA16&gt;80000000,AA16*35%-9850000,AA16*5%))))))</f>
        <v>1713000</v>
      </c>
      <c r="AC16" s="159"/>
      <c r="AD16" s="166">
        <v>38795791</v>
      </c>
      <c r="AE16" s="164">
        <f t="shared" si="6"/>
        <v>68902791</v>
      </c>
      <c r="AF16" s="165">
        <f>(MIN(VALUE($G16),Assu!$E$3))*AF$9</f>
        <v>3760000</v>
      </c>
      <c r="AG16" s="165">
        <f>(MIN(VALUE($G16),Assu!$E$3))*AG$9</f>
        <v>5439999.9999999991</v>
      </c>
      <c r="AH16" s="165">
        <f t="shared" ref="AH16:AH17" si="21">R16*$AH$9/12</f>
        <v>2791666.6666666665</v>
      </c>
      <c r="AI16" s="165">
        <f t="shared" ref="AI16:AI17" si="22">AB16</f>
        <v>1713000</v>
      </c>
      <c r="AJ16" s="48"/>
      <c r="AK16" s="48" t="s">
        <v>343</v>
      </c>
      <c r="AL16" s="48" t="s">
        <v>362</v>
      </c>
      <c r="AM16" s="48"/>
      <c r="AN16" s="48" t="s">
        <v>334</v>
      </c>
      <c r="AO16" s="48" t="s">
        <v>357</v>
      </c>
      <c r="AP16" s="123" t="s">
        <v>225</v>
      </c>
      <c r="AQ16" s="168" t="s">
        <v>144</v>
      </c>
      <c r="AR16" s="168" t="s">
        <v>160</v>
      </c>
    </row>
    <row r="17" spans="1:48">
      <c r="A17" s="156">
        <v>8</v>
      </c>
      <c r="B17" s="157" t="s">
        <v>124</v>
      </c>
      <c r="C17" s="244" t="s">
        <v>168</v>
      </c>
      <c r="D17" s="227" t="s">
        <v>194</v>
      </c>
      <c r="E17" s="124">
        <v>41855</v>
      </c>
      <c r="F17" s="247" t="s">
        <v>125</v>
      </c>
      <c r="G17" s="239">
        <v>8950000</v>
      </c>
      <c r="H17" s="287">
        <v>25</v>
      </c>
      <c r="I17" s="287">
        <v>0</v>
      </c>
      <c r="J17" s="287">
        <f t="shared" si="1"/>
        <v>25</v>
      </c>
      <c r="K17" s="161">
        <f t="shared" si="13"/>
        <v>8950000</v>
      </c>
      <c r="L17" s="292">
        <v>1200000</v>
      </c>
      <c r="M17" s="162">
        <f t="shared" si="14"/>
        <v>10150000</v>
      </c>
      <c r="N17" s="51">
        <f>(8950000/12*3)+(10150000/12*9)</f>
        <v>9850000</v>
      </c>
      <c r="O17" s="50">
        <v>1000000</v>
      </c>
      <c r="P17" s="172"/>
      <c r="Q17" s="172">
        <v>500000</v>
      </c>
      <c r="R17" s="164">
        <f t="shared" si="2"/>
        <v>21500000</v>
      </c>
      <c r="S17" s="165">
        <f>(MIN(VALUE($G17),Assu!$E$3))*S$9</f>
        <v>716000</v>
      </c>
      <c r="T17" s="165">
        <f>(MIN(VALUE($G17),Assu!$E$3))*T$9</f>
        <v>134250</v>
      </c>
      <c r="U17" s="165">
        <f>(MIN(VALUE($G17),Assu!$E$5))*U$9</f>
        <v>89500</v>
      </c>
      <c r="V17" s="159">
        <f t="shared" si="15"/>
        <v>939750</v>
      </c>
      <c r="W17" s="159">
        <v>1</v>
      </c>
      <c r="X17" s="159">
        <f t="shared" si="16"/>
        <v>4400000</v>
      </c>
      <c r="Y17" s="159">
        <f t="shared" si="17"/>
        <v>11000000</v>
      </c>
      <c r="Z17" s="159">
        <f t="shared" si="18"/>
        <v>15400000</v>
      </c>
      <c r="AA17" s="159">
        <f t="shared" si="19"/>
        <v>5160250</v>
      </c>
      <c r="AB17" s="164">
        <f t="shared" si="20"/>
        <v>266025</v>
      </c>
      <c r="AC17" s="159"/>
      <c r="AD17" s="166">
        <v>10120237</v>
      </c>
      <c r="AE17" s="164">
        <f t="shared" si="6"/>
        <v>30414462</v>
      </c>
      <c r="AF17" s="165">
        <f>(MIN(VALUE($G17),Assu!$E$3))*AF$9</f>
        <v>2103250</v>
      </c>
      <c r="AG17" s="165">
        <f>(MIN(VALUE($G17),Assu!$E$3))*AG$9</f>
        <v>3042999.9999999995</v>
      </c>
      <c r="AH17" s="165">
        <f t="shared" si="21"/>
        <v>1791666.6666666667</v>
      </c>
      <c r="AI17" s="165">
        <f t="shared" si="22"/>
        <v>266025</v>
      </c>
      <c r="AJ17" s="48" t="s">
        <v>332</v>
      </c>
      <c r="AK17" s="48" t="s">
        <v>344</v>
      </c>
      <c r="AL17" s="48" t="s">
        <v>362</v>
      </c>
      <c r="AM17" s="48"/>
      <c r="AN17" s="48" t="s">
        <v>334</v>
      </c>
      <c r="AO17" s="48" t="s">
        <v>357</v>
      </c>
      <c r="AP17" s="123" t="s">
        <v>226</v>
      </c>
      <c r="AQ17" s="168" t="s">
        <v>141</v>
      </c>
      <c r="AR17" s="168" t="s">
        <v>160</v>
      </c>
    </row>
    <row r="18" spans="1:48">
      <c r="A18" s="156">
        <v>9</v>
      </c>
      <c r="B18" s="173" t="s">
        <v>116</v>
      </c>
      <c r="C18" s="244" t="s">
        <v>168</v>
      </c>
      <c r="D18" s="47" t="s">
        <v>193</v>
      </c>
      <c r="E18" s="124">
        <v>42736</v>
      </c>
      <c r="F18" s="158" t="s">
        <v>117</v>
      </c>
      <c r="G18" s="238">
        <v>7000000</v>
      </c>
      <c r="H18" s="287">
        <v>25</v>
      </c>
      <c r="I18" s="287">
        <v>0</v>
      </c>
      <c r="J18" s="287">
        <f t="shared" si="1"/>
        <v>25</v>
      </c>
      <c r="K18" s="161">
        <f>G18/H18*J18</f>
        <v>7000000</v>
      </c>
      <c r="L18" s="297"/>
      <c r="M18" s="162">
        <f t="shared" si="14"/>
        <v>7000000</v>
      </c>
      <c r="N18" s="51">
        <f>(7000000/12*12)</f>
        <v>7000000</v>
      </c>
      <c r="O18" s="50">
        <v>1000000</v>
      </c>
      <c r="P18" s="172"/>
      <c r="Q18" s="159">
        <v>500000</v>
      </c>
      <c r="R18" s="164">
        <f t="shared" si="2"/>
        <v>15500000</v>
      </c>
      <c r="S18" s="165">
        <f>(MIN(VALUE($G18),Assu!$E$3))*S$9</f>
        <v>560000</v>
      </c>
      <c r="T18" s="165">
        <f>(MIN(VALUE($G18),Assu!$E$3))*T$9</f>
        <v>105000</v>
      </c>
      <c r="U18" s="165">
        <f>(MIN(VALUE($G18),Assu!$E$5))*U$9</f>
        <v>70000</v>
      </c>
      <c r="V18" s="159">
        <f>SUM(S18:U18)</f>
        <v>735000</v>
      </c>
      <c r="W18" s="159">
        <v>0</v>
      </c>
      <c r="X18" s="159">
        <f>W18*$X$9</f>
        <v>0</v>
      </c>
      <c r="Y18" s="159">
        <f>IF(VALUE(R18)=0,0,$Y$9)</f>
        <v>11000000</v>
      </c>
      <c r="Z18" s="159">
        <f>SUM(X18:Y18)</f>
        <v>11000000</v>
      </c>
      <c r="AA18" s="159">
        <f>IF((R18-V18-Z18)&lt;0,0,(R18-V18-Z18))</f>
        <v>3765000</v>
      </c>
      <c r="AB18" s="164">
        <f>IF(AND(AA18&lt;10000000,AA18&gt;5000000),AA18*10%-250000,IF(AND(AA18&lt;18000000,AA18&gt;10000000),AA18*15%-750000,IF(AND(AA18&lt;32000000,AA18&gt;18000000),AA18*20%-1650000,IF(AND(AA18&lt;52000000,AA18&gt;32000000),AA18*25%-3250000,IF(AND(AA18&lt;80000000,AA18&gt;52000000),AA18*30%-5850000,IF(AA18&gt;80000000,AA18*35%-9850000,AA18*5%))))))</f>
        <v>188250</v>
      </c>
      <c r="AC18" s="159"/>
      <c r="AD18" s="166">
        <v>401500</v>
      </c>
      <c r="AE18" s="164">
        <f t="shared" si="6"/>
        <v>14978250</v>
      </c>
      <c r="AF18" s="165">
        <f>(MIN(VALUE($G18),Assu!$E$3))*AF$9</f>
        <v>1645000</v>
      </c>
      <c r="AG18" s="165">
        <f>(MIN(VALUE($G18),Assu!$E$3))*AG$9</f>
        <v>2380000</v>
      </c>
      <c r="AH18" s="165">
        <f>R18*$AH$9/12</f>
        <v>1291666.6666666667</v>
      </c>
      <c r="AI18" s="165">
        <f>AB18</f>
        <v>188250</v>
      </c>
      <c r="AJ18" s="48"/>
      <c r="AK18" s="48" t="s">
        <v>345</v>
      </c>
      <c r="AL18" s="48" t="s">
        <v>362</v>
      </c>
      <c r="AM18" s="48"/>
      <c r="AN18" s="48" t="s">
        <v>334</v>
      </c>
      <c r="AO18" s="48" t="s">
        <v>357</v>
      </c>
      <c r="AP18" s="123" t="s">
        <v>230</v>
      </c>
      <c r="AQ18" s="168" t="s">
        <v>143</v>
      </c>
      <c r="AR18" s="168" t="s">
        <v>160</v>
      </c>
      <c r="AV18" s="169"/>
    </row>
    <row r="19" spans="1:48">
      <c r="A19" s="156">
        <v>10</v>
      </c>
      <c r="B19" s="288" t="s">
        <v>294</v>
      </c>
      <c r="C19" s="289" t="s">
        <v>168</v>
      </c>
      <c r="D19" s="124" t="s">
        <v>193</v>
      </c>
      <c r="E19" s="124">
        <v>43891</v>
      </c>
      <c r="F19" s="158" t="s">
        <v>295</v>
      </c>
      <c r="G19" s="239">
        <v>5500000</v>
      </c>
      <c r="H19" s="287">
        <v>25</v>
      </c>
      <c r="I19" s="287">
        <v>0</v>
      </c>
      <c r="J19" s="287">
        <f t="shared" si="1"/>
        <v>25</v>
      </c>
      <c r="K19" s="161">
        <f>G19/H19*J19</f>
        <v>5500000</v>
      </c>
      <c r="L19" s="297"/>
      <c r="M19" s="162">
        <f t="shared" si="14"/>
        <v>5500000</v>
      </c>
      <c r="N19" s="51">
        <f>(5500000/12*10)</f>
        <v>4583333.333333333</v>
      </c>
      <c r="O19" s="50">
        <v>1000000</v>
      </c>
      <c r="P19" s="172"/>
      <c r="Q19" s="172">
        <v>500000</v>
      </c>
      <c r="R19" s="164">
        <f t="shared" si="2"/>
        <v>11583333.333333332</v>
      </c>
      <c r="S19" s="165">
        <f>(MIN(VALUE($G19),Assu!$E$3))*S$9</f>
        <v>440000</v>
      </c>
      <c r="T19" s="165">
        <f>(MIN(VALUE($G19),Assu!$E$3))*T$9</f>
        <v>82500</v>
      </c>
      <c r="U19" s="165">
        <f>(MIN(VALUE($G19),Assu!$E$5))*U$9</f>
        <v>55000</v>
      </c>
      <c r="V19" s="159">
        <f>SUM(S19:U19)</f>
        <v>577500</v>
      </c>
      <c r="W19" s="159">
        <v>0</v>
      </c>
      <c r="X19" s="159">
        <f>W19*$X$9</f>
        <v>0</v>
      </c>
      <c r="Y19" s="159">
        <f>IF(VALUE(R19)=0,0,$Y$9)</f>
        <v>11000000</v>
      </c>
      <c r="Z19" s="159">
        <f>SUM(X19:Y19)</f>
        <v>11000000</v>
      </c>
      <c r="AA19" s="159">
        <f>IF((R19-V19-Z19)&lt;0,0,(R19-V19-Z19))</f>
        <v>5833.3333333320916</v>
      </c>
      <c r="AB19" s="164">
        <f>IF(AND(AA19&lt;10000000,AA19&gt;5000000),AA19*10%-250000,IF(AND(AA19&lt;18000000,AA19&gt;10000000),AA19*15%-750000,IF(AND(AA19&lt;32000000,AA19&gt;18000000),AA19*20%-1650000,IF(AND(AA19&lt;52000000,AA19&gt;32000000),AA19*25%-3250000,IF(AND(AA19&lt;80000000,AA19&gt;52000000),AA19*30%-5850000,IF(AA19&gt;80000000,AA19*35%-9850000,AA19*5%))))))</f>
        <v>291.66666666660461</v>
      </c>
      <c r="AC19" s="174"/>
      <c r="AD19" s="166"/>
      <c r="AE19" s="164">
        <f t="shared" si="6"/>
        <v>11005541.666666666</v>
      </c>
      <c r="AF19" s="165">
        <f>(MIN(VALUE($G19),Assu!$E$3))*AF$9</f>
        <v>1292500</v>
      </c>
      <c r="AG19" s="165">
        <f>(MIN(VALUE($G19),Assu!$E$3))*AG$9</f>
        <v>1869999.9999999998</v>
      </c>
      <c r="AH19" s="165">
        <f>R19*$AH$9/12</f>
        <v>965277.77777777764</v>
      </c>
      <c r="AI19" s="165">
        <f>AB19</f>
        <v>291.66666666660461</v>
      </c>
      <c r="AJ19" s="48"/>
      <c r="AK19" s="48" t="s">
        <v>346</v>
      </c>
      <c r="AL19" s="48" t="s">
        <v>362</v>
      </c>
      <c r="AM19" s="48"/>
      <c r="AN19" s="48" t="s">
        <v>334</v>
      </c>
      <c r="AO19" s="48"/>
      <c r="AP19" s="123" t="s">
        <v>296</v>
      </c>
      <c r="AQ19" s="168" t="s">
        <v>297</v>
      </c>
      <c r="AR19" s="168" t="s">
        <v>160</v>
      </c>
    </row>
    <row r="20" spans="1:48">
      <c r="A20" s="156">
        <v>11</v>
      </c>
      <c r="B20" s="243" t="s">
        <v>282</v>
      </c>
      <c r="C20" s="244" t="s">
        <v>168</v>
      </c>
      <c r="D20" s="47" t="s">
        <v>193</v>
      </c>
      <c r="E20" s="124">
        <v>43675</v>
      </c>
      <c r="F20" s="158" t="s">
        <v>283</v>
      </c>
      <c r="G20" s="239">
        <v>5000000</v>
      </c>
      <c r="H20" s="287">
        <v>25</v>
      </c>
      <c r="I20" s="287">
        <v>0</v>
      </c>
      <c r="J20" s="287">
        <f t="shared" si="1"/>
        <v>25</v>
      </c>
      <c r="K20" s="161">
        <f t="shared" ref="K20" si="23">G20/H20*J20</f>
        <v>5000000</v>
      </c>
      <c r="L20" s="297"/>
      <c r="M20" s="162">
        <f t="shared" si="14"/>
        <v>5000000</v>
      </c>
      <c r="N20" s="51">
        <f>(5000000/12*12)</f>
        <v>5000000</v>
      </c>
      <c r="O20" s="50">
        <v>1000000</v>
      </c>
      <c r="P20" s="172"/>
      <c r="Q20" s="159">
        <v>500000</v>
      </c>
      <c r="R20" s="164">
        <f t="shared" si="2"/>
        <v>11500000</v>
      </c>
      <c r="S20" s="165">
        <f>(MIN(VALUE($G20),Assu!$E$3))*S$9</f>
        <v>400000</v>
      </c>
      <c r="T20" s="165">
        <f>(MIN(VALUE($G20),Assu!$E$3))*T$9</f>
        <v>75000</v>
      </c>
      <c r="U20" s="165">
        <f>(MIN(VALUE($G20),Assu!$E$5))*U$9</f>
        <v>50000</v>
      </c>
      <c r="V20" s="159">
        <f t="shared" ref="V20:V22" si="24">SUM(S20:U20)</f>
        <v>525000</v>
      </c>
      <c r="W20" s="159">
        <v>0</v>
      </c>
      <c r="X20" s="159">
        <f>W20*$X$9</f>
        <v>0</v>
      </c>
      <c r="Y20" s="159">
        <f t="shared" ref="Y20" si="25">IF(VALUE(R20)=0,0,$Y$9)</f>
        <v>11000000</v>
      </c>
      <c r="Z20" s="159">
        <f t="shared" ref="Z20" si="26">SUM(X20:Y20)</f>
        <v>11000000</v>
      </c>
      <c r="AA20" s="159">
        <f t="shared" ref="AA20:AA39" si="27">IF((R20-V20-Z20)&lt;0,0,(R20-V20-Z20))</f>
        <v>0</v>
      </c>
      <c r="AB20" s="164">
        <f t="shared" ref="AB20:AB39" si="28">IF(AND(AA20&lt;10000000,AA20&gt;5000000),AA20*10%-250000,IF(AND(AA20&lt;18000000,AA20&gt;10000000),AA20*15%-750000,IF(AND(AA20&lt;32000000,AA20&gt;18000000),AA20*20%-1650000,IF(AND(AA20&lt;52000000,AA20&gt;32000000),AA20*25%-3250000,IF(AND(AA20&lt;80000000,AA20&gt;52000000),AA20*30%-5850000,IF(AA20&gt;80000000,AA20*35%-9850000,AA20*5%))))))</f>
        <v>0</v>
      </c>
      <c r="AC20" s="159"/>
      <c r="AD20" s="166"/>
      <c r="AE20" s="164">
        <f t="shared" si="6"/>
        <v>10975000</v>
      </c>
      <c r="AF20" s="165">
        <f>(MIN(VALUE($G20),Assu!$E$3))*AF$9</f>
        <v>1175000</v>
      </c>
      <c r="AG20" s="165">
        <f>(MIN(VALUE($G20),Assu!$E$3))*AG$9</f>
        <v>1699999.9999999998</v>
      </c>
      <c r="AH20" s="165">
        <f t="shared" ref="AH20" si="29">R20*$AH$9/12</f>
        <v>958333.33333333337</v>
      </c>
      <c r="AI20" s="165">
        <f t="shared" ref="AI20" si="30">AB20</f>
        <v>0</v>
      </c>
      <c r="AJ20" s="48"/>
      <c r="AK20" s="48" t="s">
        <v>347</v>
      </c>
      <c r="AL20" s="48" t="s">
        <v>362</v>
      </c>
      <c r="AM20" s="48"/>
      <c r="AN20" s="48" t="s">
        <v>334</v>
      </c>
      <c r="AO20" s="48"/>
      <c r="AP20" s="123" t="s">
        <v>284</v>
      </c>
      <c r="AQ20" s="123" t="s">
        <v>286</v>
      </c>
      <c r="AR20" s="168" t="s">
        <v>160</v>
      </c>
    </row>
    <row r="21" spans="1:48">
      <c r="A21" s="156">
        <v>12</v>
      </c>
      <c r="B21" s="157" t="s">
        <v>112</v>
      </c>
      <c r="C21" s="245" t="s">
        <v>165</v>
      </c>
      <c r="D21" s="152" t="s">
        <v>163</v>
      </c>
      <c r="E21" s="124">
        <v>42177</v>
      </c>
      <c r="F21" s="158" t="s">
        <v>113</v>
      </c>
      <c r="G21" s="238">
        <v>10500000</v>
      </c>
      <c r="H21" s="287">
        <v>25</v>
      </c>
      <c r="I21" s="287">
        <v>0</v>
      </c>
      <c r="J21" s="287">
        <f t="shared" si="1"/>
        <v>25</v>
      </c>
      <c r="K21" s="242">
        <f t="shared" si="0"/>
        <v>10500000</v>
      </c>
      <c r="L21" s="50">
        <v>700000</v>
      </c>
      <c r="M21" s="162">
        <f t="shared" si="14"/>
        <v>11200000</v>
      </c>
      <c r="N21" s="51">
        <f>(11000000/12*4)+(11200000/12*8)</f>
        <v>11133333.333333334</v>
      </c>
      <c r="O21" s="50">
        <v>1000000</v>
      </c>
      <c r="P21" s="50"/>
      <c r="Q21" s="159"/>
      <c r="R21" s="164">
        <f t="shared" si="2"/>
        <v>23333333.333333336</v>
      </c>
      <c r="S21" s="165">
        <f>(MIN(VALUE($G21),Assu!$E$3))*S$9</f>
        <v>840000</v>
      </c>
      <c r="T21" s="165">
        <f>(MIN(VALUE($G21),Assu!$E$3))*T$9</f>
        <v>157500</v>
      </c>
      <c r="U21" s="165">
        <f>(MIN(VALUE($G21),Assu!$E$5))*U$9</f>
        <v>105000</v>
      </c>
      <c r="V21" s="159">
        <f t="shared" si="24"/>
        <v>1102500</v>
      </c>
      <c r="W21" s="159">
        <v>0</v>
      </c>
      <c r="X21" s="159">
        <f t="shared" si="3"/>
        <v>0</v>
      </c>
      <c r="Y21" s="159">
        <f t="shared" si="4"/>
        <v>11000000</v>
      </c>
      <c r="Z21" s="159">
        <f t="shared" si="5"/>
        <v>11000000</v>
      </c>
      <c r="AA21" s="159">
        <f t="shared" si="27"/>
        <v>11230833.333333336</v>
      </c>
      <c r="AB21" s="164">
        <f t="shared" si="28"/>
        <v>934625.00000000023</v>
      </c>
      <c r="AC21" s="235"/>
      <c r="AD21" s="166">
        <v>564500</v>
      </c>
      <c r="AE21" s="164">
        <f t="shared" ref="AE21:AE40" si="31">R21-V21-AB21-AC21+AD21</f>
        <v>21860708.333333336</v>
      </c>
      <c r="AF21" s="165">
        <f>(MIN(VALUE($G21),Assu!$E$3))*AF$9</f>
        <v>2467500</v>
      </c>
      <c r="AG21" s="165">
        <f>(MIN(VALUE($G21),Assu!$E$3))*AG$9</f>
        <v>3569999.9999999995</v>
      </c>
      <c r="AH21" s="165">
        <f t="shared" si="9"/>
        <v>1944444.4444444447</v>
      </c>
      <c r="AI21" s="165">
        <f t="shared" si="7"/>
        <v>934625.00000000023</v>
      </c>
      <c r="AJ21" s="48" t="s">
        <v>332</v>
      </c>
      <c r="AK21" s="48" t="s">
        <v>348</v>
      </c>
      <c r="AL21" s="48" t="s">
        <v>362</v>
      </c>
      <c r="AM21" s="153"/>
      <c r="AN21" s="52"/>
      <c r="AO21" s="48" t="s">
        <v>357</v>
      </c>
      <c r="AP21" s="123" t="s">
        <v>221</v>
      </c>
      <c r="AQ21" s="168" t="s">
        <v>141</v>
      </c>
      <c r="AR21" s="168" t="s">
        <v>160</v>
      </c>
      <c r="AV21" s="169"/>
    </row>
    <row r="22" spans="1:48">
      <c r="A22" s="156">
        <v>13</v>
      </c>
      <c r="B22" s="157" t="s">
        <v>118</v>
      </c>
      <c r="C22" s="245" t="s">
        <v>165</v>
      </c>
      <c r="D22" s="47" t="s">
        <v>192</v>
      </c>
      <c r="E22" s="124">
        <v>41974</v>
      </c>
      <c r="F22" s="247" t="s">
        <v>119</v>
      </c>
      <c r="G22" s="238">
        <v>14050000</v>
      </c>
      <c r="H22" s="287">
        <v>25</v>
      </c>
      <c r="I22" s="287">
        <v>0</v>
      </c>
      <c r="J22" s="287">
        <f t="shared" si="1"/>
        <v>25</v>
      </c>
      <c r="K22" s="161">
        <f>G22/H22*J22</f>
        <v>14050000</v>
      </c>
      <c r="L22" s="292">
        <v>1200000</v>
      </c>
      <c r="M22" s="162">
        <f>SUM(K22:L22)</f>
        <v>15250000</v>
      </c>
      <c r="N22" s="51">
        <f>(14550000/12*6)+(15250000/12*6)</f>
        <v>14900000</v>
      </c>
      <c r="O22" s="50">
        <v>1000000</v>
      </c>
      <c r="P22" s="50"/>
      <c r="Q22" s="172"/>
      <c r="R22" s="164">
        <f>SUM(M22:Q22)</f>
        <v>31150000</v>
      </c>
      <c r="S22" s="165">
        <f>(MIN(VALUE($G22),Assu!$E$3))*S$9</f>
        <v>1124000</v>
      </c>
      <c r="T22" s="165">
        <f>(MIN(VALUE($G22),Assu!$E$3))*T$9</f>
        <v>210750</v>
      </c>
      <c r="U22" s="165">
        <f>(MIN(VALUE($G22),Assu!$E$5))*U$9</f>
        <v>140500</v>
      </c>
      <c r="V22" s="159">
        <f t="shared" si="24"/>
        <v>1475250</v>
      </c>
      <c r="W22" s="159">
        <v>0</v>
      </c>
      <c r="X22" s="159">
        <f>W22*$X$9</f>
        <v>0</v>
      </c>
      <c r="Y22" s="159">
        <f>IF(VALUE(R22)=0,0,$Y$9)</f>
        <v>11000000</v>
      </c>
      <c r="Z22" s="159">
        <f>SUM(X22:Y22)</f>
        <v>11000000</v>
      </c>
      <c r="AA22" s="159">
        <f>IF((R22-V22-Z22)&lt;0,0,(R22-V22-Z22))</f>
        <v>18674750</v>
      </c>
      <c r="AB22" s="164">
        <f>IF(AND(AA22&lt;10000000,AA22&gt;5000000),AA22*10%-250000,IF(AND(AA22&lt;18000000,AA22&gt;10000000),AA22*15%-750000,IF(AND(AA22&lt;32000000,AA22&gt;18000000),AA22*20%-1650000,IF(AND(AA22&lt;52000000,AA22&gt;32000000),AA22*25%-3250000,IF(AND(AA22&lt;80000000,AA22&gt;52000000),AA22*30%-5850000,IF(AA22&gt;80000000,AA22*35%-9850000,AA22*5%))))))</f>
        <v>2084950</v>
      </c>
      <c r="AC22" s="159"/>
      <c r="AD22" s="166">
        <v>1218475</v>
      </c>
      <c r="AE22" s="164">
        <f t="shared" si="31"/>
        <v>28808275</v>
      </c>
      <c r="AF22" s="165">
        <f>(MIN(VALUE($G22),Assu!$E$3))*AF$9</f>
        <v>3301750</v>
      </c>
      <c r="AG22" s="165">
        <f>(MIN(VALUE($G22),Assu!$E$3))*AG$9</f>
        <v>4777000</v>
      </c>
      <c r="AH22" s="165">
        <f>R22*$AH$9/12</f>
        <v>2595833.3333333335</v>
      </c>
      <c r="AI22" s="165">
        <f>AB22</f>
        <v>2084950</v>
      </c>
      <c r="AJ22" s="48" t="s">
        <v>332</v>
      </c>
      <c r="AK22" s="48" t="s">
        <v>349</v>
      </c>
      <c r="AL22" s="48" t="s">
        <v>362</v>
      </c>
      <c r="AM22" s="48"/>
      <c r="AN22" s="52"/>
      <c r="AO22" s="48" t="s">
        <v>357</v>
      </c>
      <c r="AP22" s="123" t="s">
        <v>228</v>
      </c>
      <c r="AQ22" s="168" t="s">
        <v>141</v>
      </c>
      <c r="AR22" s="168" t="s">
        <v>160</v>
      </c>
    </row>
    <row r="23" spans="1:48">
      <c r="A23" s="156">
        <v>14</v>
      </c>
      <c r="B23" s="243" t="s">
        <v>291</v>
      </c>
      <c r="C23" s="245" t="s">
        <v>165</v>
      </c>
      <c r="D23" s="227" t="s">
        <v>197</v>
      </c>
      <c r="E23" s="124">
        <v>43804</v>
      </c>
      <c r="F23" s="246" t="s">
        <v>306</v>
      </c>
      <c r="G23" s="239">
        <v>6000000</v>
      </c>
      <c r="H23" s="287">
        <v>25</v>
      </c>
      <c r="I23" s="287">
        <v>0</v>
      </c>
      <c r="J23" s="287">
        <f t="shared" si="1"/>
        <v>25</v>
      </c>
      <c r="K23" s="161">
        <f t="shared" si="0"/>
        <v>6000000</v>
      </c>
      <c r="L23" s="50">
        <v>650000</v>
      </c>
      <c r="M23" s="162">
        <f>SUM(K23:L23)</f>
        <v>6650000</v>
      </c>
      <c r="N23" s="51">
        <f>(6650000/12*12)</f>
        <v>6650000</v>
      </c>
      <c r="O23" s="50">
        <v>1000000</v>
      </c>
      <c r="P23" s="50"/>
      <c r="Q23" s="172"/>
      <c r="R23" s="164">
        <f t="shared" si="2"/>
        <v>14300000</v>
      </c>
      <c r="S23" s="165">
        <f>(MIN(VALUE($G23),Assu!$E$3))*S$9</f>
        <v>480000</v>
      </c>
      <c r="T23" s="165">
        <f>(MIN(VALUE($G23),Assu!$E$3))*T$9</f>
        <v>90000</v>
      </c>
      <c r="U23" s="165">
        <f>(MIN(VALUE($G23),Assu!$E$5))*U$9</f>
        <v>60000</v>
      </c>
      <c r="V23" s="159">
        <f>SUM(S23:U23)</f>
        <v>630000</v>
      </c>
      <c r="W23" s="159">
        <v>0</v>
      </c>
      <c r="X23" s="159">
        <f t="shared" si="3"/>
        <v>0</v>
      </c>
      <c r="Y23" s="159">
        <f t="shared" si="4"/>
        <v>11000000</v>
      </c>
      <c r="Z23" s="159">
        <f>SUM(X23:Y23)</f>
        <v>11000000</v>
      </c>
      <c r="AA23" s="159">
        <f>IF((R23-V23-Z23)&lt;0,0,(R23-V23-Z23))</f>
        <v>2670000</v>
      </c>
      <c r="AB23" s="164">
        <f>IF(AND(AA23&lt;10000000,AA23&gt;5000000),AA23*10%-250000,IF(AND(AA23&lt;18000000,AA23&gt;10000000),AA23*15%-750000,IF(AND(AA23&lt;32000000,AA23&gt;18000000),AA23*20%-1650000,IF(AND(AA23&lt;52000000,AA23&gt;32000000),AA23*25%-3250000,IF(AND(AA23&lt;80000000,AA23&gt;52000000),AA23*30%-5850000,IF(AA23&gt;80000000,AA23*35%-9850000,AA23*5%))))))</f>
        <v>133500</v>
      </c>
      <c r="AC23" s="159"/>
      <c r="AD23" s="166"/>
      <c r="AE23" s="164">
        <f t="shared" si="31"/>
        <v>13536500</v>
      </c>
      <c r="AF23" s="165">
        <f>(MIN(VALUE($G23),Assu!$E$3))*AF$9</f>
        <v>1410000</v>
      </c>
      <c r="AG23" s="165">
        <f>(MIN(VALUE($G23),Assu!$E$3))*AG$9</f>
        <v>2039999.9999999998</v>
      </c>
      <c r="AH23" s="165">
        <f t="shared" si="9"/>
        <v>1191666.6666666667</v>
      </c>
      <c r="AI23" s="165">
        <f t="shared" si="7"/>
        <v>133500</v>
      </c>
      <c r="AJ23" s="48" t="s">
        <v>332</v>
      </c>
      <c r="AK23" s="48" t="s">
        <v>350</v>
      </c>
      <c r="AL23" s="48" t="s">
        <v>362</v>
      </c>
      <c r="AM23" s="48"/>
      <c r="AN23" s="52"/>
      <c r="AO23" s="48"/>
      <c r="AP23" s="123" t="s">
        <v>292</v>
      </c>
      <c r="AQ23" s="123" t="s">
        <v>293</v>
      </c>
      <c r="AR23" s="168" t="s">
        <v>160</v>
      </c>
    </row>
    <row r="24" spans="1:48" s="18" customFormat="1">
      <c r="A24" s="156">
        <v>15</v>
      </c>
      <c r="B24" s="288" t="s">
        <v>298</v>
      </c>
      <c r="C24" s="245" t="s">
        <v>165</v>
      </c>
      <c r="D24" s="296" t="s">
        <v>299</v>
      </c>
      <c r="E24" s="124">
        <v>41855</v>
      </c>
      <c r="F24" s="291" t="s">
        <v>300</v>
      </c>
      <c r="G24" s="292">
        <v>9080000</v>
      </c>
      <c r="H24" s="287">
        <v>25</v>
      </c>
      <c r="I24" s="287">
        <v>0</v>
      </c>
      <c r="J24" s="287">
        <f t="shared" si="1"/>
        <v>25</v>
      </c>
      <c r="K24" s="292">
        <f>G24/H24*J24</f>
        <v>9080000</v>
      </c>
      <c r="L24" s="50">
        <v>700000</v>
      </c>
      <c r="M24" s="293">
        <f t="shared" ref="M24:M25" si="32">SUM(K24:L24)</f>
        <v>9780000</v>
      </c>
      <c r="N24" s="51">
        <f>(9780000/12*12)</f>
        <v>9780000</v>
      </c>
      <c r="O24" s="50">
        <v>1000000</v>
      </c>
      <c r="P24" s="50"/>
      <c r="Q24" s="248">
        <v>2397200</v>
      </c>
      <c r="R24" s="294">
        <f t="shared" si="2"/>
        <v>22957200</v>
      </c>
      <c r="S24" s="165">
        <f>(MIN(VALUE($G24),Assu!$E$3))*S$9</f>
        <v>726400</v>
      </c>
      <c r="T24" s="165">
        <f>(MIN(VALUE($G24),Assu!$E$3))*T$9</f>
        <v>136200</v>
      </c>
      <c r="U24" s="165">
        <f>(MIN(VALUE($G24),Assu!$E$5))*U$9</f>
        <v>90800</v>
      </c>
      <c r="V24" s="50">
        <f t="shared" ref="V24:V39" si="33">SUM(S24:U24)</f>
        <v>953400</v>
      </c>
      <c r="W24" s="50">
        <v>1</v>
      </c>
      <c r="X24" s="50">
        <f>W24*$X$9</f>
        <v>4400000</v>
      </c>
      <c r="Y24" s="50">
        <f>IF(VALUE(R24)=0,0,$Y$9)</f>
        <v>11000000</v>
      </c>
      <c r="Z24" s="50">
        <f>SUM(X24:Y24)</f>
        <v>15400000</v>
      </c>
      <c r="AA24" s="50">
        <f>IF((R24-V24-Z24)&lt;0,0,(R24-V24-Z24))</f>
        <v>6603800</v>
      </c>
      <c r="AB24" s="290">
        <f t="shared" ref="AB24:AB25" si="34">IF(AND(AA24&lt;10000000,AA24&gt;5000000),AA24*10%-250000,IF(AND(AA24&lt;18000000,AA24&gt;10000000),AA24*15%-750000,IF(AND(AA24&lt;32000000,AA24&gt;18000000),AA24*20%-1650000,IF(AND(AA24&lt;52000000,AA24&gt;32000000),AA24*25%-3250000,IF(AND(AA24&lt;80000000,AA24&gt;52000000),AA24*30%-5850000,IF(AA24&gt;80000000,AA24*35%-9850000,AA24*5%))))))</f>
        <v>410380</v>
      </c>
      <c r="AC24" s="51"/>
      <c r="AD24" s="51"/>
      <c r="AE24" s="164">
        <f t="shared" si="31"/>
        <v>21593420</v>
      </c>
      <c r="AF24" s="165">
        <f>(MIN(VALUE($G24),Assu!$E$3))*AF$9</f>
        <v>2133800</v>
      </c>
      <c r="AG24" s="165">
        <f>(MIN(VALUE($G24),Assu!$E$3))*AG$9</f>
        <v>3087199.9999999995</v>
      </c>
      <c r="AH24" s="165">
        <f>R24*$AH$9/12</f>
        <v>1913100</v>
      </c>
      <c r="AI24" s="295">
        <f>AB24</f>
        <v>410380</v>
      </c>
      <c r="AJ24" s="48" t="s">
        <v>332</v>
      </c>
      <c r="AK24" s="48" t="s">
        <v>351</v>
      </c>
      <c r="AL24" s="48" t="s">
        <v>362</v>
      </c>
      <c r="AM24" s="48"/>
      <c r="AN24" s="48" t="s">
        <v>359</v>
      </c>
      <c r="AO24" s="48"/>
      <c r="AP24" s="48" t="s">
        <v>302</v>
      </c>
      <c r="AQ24" s="48" t="s">
        <v>141</v>
      </c>
      <c r="AR24" s="48" t="s">
        <v>160</v>
      </c>
      <c r="AV24" s="23"/>
    </row>
    <row r="25" spans="1:48" s="18" customFormat="1">
      <c r="A25" s="156">
        <v>16</v>
      </c>
      <c r="B25" s="288" t="s">
        <v>303</v>
      </c>
      <c r="C25" s="245" t="s">
        <v>165</v>
      </c>
      <c r="D25" s="296" t="s">
        <v>299</v>
      </c>
      <c r="E25" s="124">
        <v>42254</v>
      </c>
      <c r="F25" s="291" t="s">
        <v>304</v>
      </c>
      <c r="G25" s="292">
        <v>7050000</v>
      </c>
      <c r="H25" s="287">
        <v>25</v>
      </c>
      <c r="I25" s="287">
        <v>0</v>
      </c>
      <c r="J25" s="287">
        <f t="shared" si="1"/>
        <v>25</v>
      </c>
      <c r="K25" s="292">
        <f>G25/H25*J25</f>
        <v>7050000</v>
      </c>
      <c r="L25" s="50">
        <f>700000</f>
        <v>700000</v>
      </c>
      <c r="M25" s="293">
        <f t="shared" si="32"/>
        <v>7750000</v>
      </c>
      <c r="N25" s="51">
        <f>(7750000/12*12)</f>
        <v>7750000</v>
      </c>
      <c r="O25" s="50">
        <v>1000000</v>
      </c>
      <c r="P25" s="50"/>
      <c r="Q25" s="248">
        <v>1503867</v>
      </c>
      <c r="R25" s="294">
        <f t="shared" si="2"/>
        <v>18003867</v>
      </c>
      <c r="S25" s="165">
        <f>(MIN(VALUE($G25),Assu!$E$3))*S$9</f>
        <v>564000</v>
      </c>
      <c r="T25" s="165">
        <f>(MIN(VALUE($G25),Assu!$E$3))*T$9</f>
        <v>105750</v>
      </c>
      <c r="U25" s="165">
        <f>(MIN(VALUE($G25),Assu!$E$5))*U$9</f>
        <v>70500</v>
      </c>
      <c r="V25" s="50">
        <f t="shared" si="33"/>
        <v>740250</v>
      </c>
      <c r="W25" s="50">
        <v>0</v>
      </c>
      <c r="X25" s="50">
        <f>W25*$X$9</f>
        <v>0</v>
      </c>
      <c r="Y25" s="50">
        <f>IF(VALUE(R25)=0,0,$Y$9)</f>
        <v>11000000</v>
      </c>
      <c r="Z25" s="50">
        <f>SUM(X25:Y25)</f>
        <v>11000000</v>
      </c>
      <c r="AA25" s="50">
        <f>IF((R25-V25-Z25)&lt;0,0,(R25-V25-Z25))</f>
        <v>6263617</v>
      </c>
      <c r="AB25" s="290">
        <f t="shared" si="34"/>
        <v>376361.70000000007</v>
      </c>
      <c r="AC25" s="51"/>
      <c r="AD25" s="51"/>
      <c r="AE25" s="164">
        <f t="shared" si="31"/>
        <v>16887255.300000001</v>
      </c>
      <c r="AF25" s="165">
        <f>(MIN(VALUE($G25),Assu!$E$3))*AF$9</f>
        <v>1656750</v>
      </c>
      <c r="AG25" s="165">
        <f>(MIN(VALUE($G25),Assu!$E$3))*AG$9</f>
        <v>2397000</v>
      </c>
      <c r="AH25" s="165">
        <f>R25*$AH$9/12</f>
        <v>1500322.25</v>
      </c>
      <c r="AI25" s="295">
        <f>AB25</f>
        <v>376361.70000000007</v>
      </c>
      <c r="AJ25" s="48" t="s">
        <v>332</v>
      </c>
      <c r="AK25" s="48" t="s">
        <v>352</v>
      </c>
      <c r="AL25" s="48" t="s">
        <v>362</v>
      </c>
      <c r="AM25" s="48"/>
      <c r="AN25" s="48" t="s">
        <v>359</v>
      </c>
      <c r="AO25" s="48"/>
      <c r="AP25" s="48" t="s">
        <v>305</v>
      </c>
      <c r="AQ25" s="48" t="s">
        <v>141</v>
      </c>
      <c r="AR25" s="48" t="s">
        <v>160</v>
      </c>
      <c r="AV25" s="23"/>
    </row>
    <row r="26" spans="1:48">
      <c r="A26" s="156">
        <v>17</v>
      </c>
      <c r="B26" s="243" t="s">
        <v>199</v>
      </c>
      <c r="C26" s="245" t="s">
        <v>165</v>
      </c>
      <c r="D26" s="227" t="s">
        <v>197</v>
      </c>
      <c r="E26" s="124">
        <v>43133</v>
      </c>
      <c r="F26" s="236" t="s">
        <v>198</v>
      </c>
      <c r="G26" s="239">
        <v>8850000</v>
      </c>
      <c r="H26" s="287">
        <v>25</v>
      </c>
      <c r="I26" s="287">
        <v>0</v>
      </c>
      <c r="J26" s="287">
        <f t="shared" si="1"/>
        <v>25</v>
      </c>
      <c r="K26" s="242">
        <f>G26/H26*J26</f>
        <v>8850000</v>
      </c>
      <c r="L26" s="292">
        <f>800000+1200000+2000000</f>
        <v>4000000</v>
      </c>
      <c r="M26" s="162">
        <f t="shared" si="8"/>
        <v>12850000</v>
      </c>
      <c r="N26" s="51">
        <f>(11450000/12*8)+(12850000/12*4)</f>
        <v>11916666.666666666</v>
      </c>
      <c r="O26" s="50">
        <v>1000000</v>
      </c>
      <c r="P26" s="248">
        <v>469471</v>
      </c>
      <c r="Q26" s="172"/>
      <c r="R26" s="164">
        <f t="shared" si="2"/>
        <v>26236137.666666664</v>
      </c>
      <c r="S26" s="165">
        <f>(MIN(VALUE($G26),Assu!$E$3))*S$9</f>
        <v>708000</v>
      </c>
      <c r="T26" s="165">
        <f>(MIN(VALUE($G26),Assu!$E$3))*T$9</f>
        <v>132750</v>
      </c>
      <c r="U26" s="165">
        <f>(MIN(VALUE($G26),Assu!$E$5))*U$9</f>
        <v>88500</v>
      </c>
      <c r="V26" s="50">
        <f t="shared" si="33"/>
        <v>929250</v>
      </c>
      <c r="W26" s="159">
        <v>0</v>
      </c>
      <c r="X26" s="159">
        <f>W26*$X$9</f>
        <v>0</v>
      </c>
      <c r="Y26" s="159">
        <f>IF(VALUE(R26)=0,0,$Y$9)</f>
        <v>11000000</v>
      </c>
      <c r="Z26" s="159">
        <f t="shared" si="5"/>
        <v>11000000</v>
      </c>
      <c r="AA26" s="159">
        <f t="shared" si="27"/>
        <v>14306887.666666664</v>
      </c>
      <c r="AB26" s="164">
        <f t="shared" si="28"/>
        <v>1396033.1499999994</v>
      </c>
      <c r="AC26" s="159"/>
      <c r="AD26" s="166">
        <v>459154</v>
      </c>
      <c r="AE26" s="164">
        <f t="shared" si="31"/>
        <v>24370008.516666666</v>
      </c>
      <c r="AF26" s="165">
        <f>(MIN(VALUE($G26),Assu!$E$3))*AF$9</f>
        <v>2079749.9999999998</v>
      </c>
      <c r="AG26" s="165">
        <f>(MIN(VALUE($G26),Assu!$E$3))*AG$9</f>
        <v>3008999.9999999995</v>
      </c>
      <c r="AH26" s="165">
        <f t="shared" si="9"/>
        <v>2186344.8055555555</v>
      </c>
      <c r="AI26" s="165">
        <f>AB26</f>
        <v>1396033.1499999994</v>
      </c>
      <c r="AJ26" s="48" t="s">
        <v>332</v>
      </c>
      <c r="AK26" s="48" t="s">
        <v>353</v>
      </c>
      <c r="AL26" s="48" t="s">
        <v>362</v>
      </c>
      <c r="AM26" s="48" t="s">
        <v>335</v>
      </c>
      <c r="AN26" s="52"/>
      <c r="AO26" s="48" t="s">
        <v>357</v>
      </c>
      <c r="AP26" s="123" t="s">
        <v>222</v>
      </c>
      <c r="AQ26" s="168" t="s">
        <v>200</v>
      </c>
      <c r="AR26" s="168" t="s">
        <v>160</v>
      </c>
    </row>
    <row r="27" spans="1:48">
      <c r="A27" s="156">
        <v>18</v>
      </c>
      <c r="B27" s="243" t="s">
        <v>211</v>
      </c>
      <c r="C27" s="245" t="s">
        <v>165</v>
      </c>
      <c r="D27" s="227" t="s">
        <v>197</v>
      </c>
      <c r="E27" s="124">
        <v>43374</v>
      </c>
      <c r="F27" s="246" t="s">
        <v>212</v>
      </c>
      <c r="G27" s="239">
        <v>7400000</v>
      </c>
      <c r="H27" s="287">
        <v>25</v>
      </c>
      <c r="I27" s="287">
        <v>0</v>
      </c>
      <c r="J27" s="287">
        <f t="shared" si="1"/>
        <v>25</v>
      </c>
      <c r="K27" s="161">
        <f t="shared" si="0"/>
        <v>7400000</v>
      </c>
      <c r="L27" s="292">
        <f>1800000+1200000</f>
        <v>3000000</v>
      </c>
      <c r="M27" s="162">
        <f t="shared" si="8"/>
        <v>10400000</v>
      </c>
      <c r="N27" s="51">
        <f>(9200000/12*3)+(10400000/12*9)</f>
        <v>10100000</v>
      </c>
      <c r="O27" s="50">
        <v>1000000</v>
      </c>
      <c r="P27" s="248">
        <v>4071183</v>
      </c>
      <c r="Q27" s="172"/>
      <c r="R27" s="164">
        <f t="shared" si="2"/>
        <v>25571183</v>
      </c>
      <c r="S27" s="165">
        <f>(MIN(VALUE($G27),Assu!$E$3))*S$9</f>
        <v>592000</v>
      </c>
      <c r="T27" s="165">
        <f>(MIN(VALUE($G27),Assu!$E$3))*T$9</f>
        <v>111000</v>
      </c>
      <c r="U27" s="165">
        <f>(MIN(VALUE($G27),Assu!$E$5))*U$9</f>
        <v>74000</v>
      </c>
      <c r="V27" s="50">
        <f t="shared" si="33"/>
        <v>777000</v>
      </c>
      <c r="W27" s="159">
        <v>1</v>
      </c>
      <c r="X27" s="159">
        <f t="shared" si="3"/>
        <v>4400000</v>
      </c>
      <c r="Y27" s="159">
        <f t="shared" si="4"/>
        <v>11000000</v>
      </c>
      <c r="Z27" s="159">
        <f t="shared" si="5"/>
        <v>15400000</v>
      </c>
      <c r="AA27" s="159">
        <f t="shared" si="27"/>
        <v>9394183</v>
      </c>
      <c r="AB27" s="164">
        <f t="shared" si="28"/>
        <v>689418.3</v>
      </c>
      <c r="AC27" s="159"/>
      <c r="AD27" s="166">
        <v>403632</v>
      </c>
      <c r="AE27" s="164">
        <f t="shared" si="31"/>
        <v>24508396.699999999</v>
      </c>
      <c r="AF27" s="165">
        <f>(MIN(VALUE($G27),Assu!$E$3))*AF$9</f>
        <v>1739000</v>
      </c>
      <c r="AG27" s="165">
        <f>(MIN(VALUE($G27),Assu!$E$3))*AG$9</f>
        <v>2516000</v>
      </c>
      <c r="AH27" s="165">
        <f t="shared" si="9"/>
        <v>2130931.9166666665</v>
      </c>
      <c r="AI27" s="165">
        <f t="shared" si="7"/>
        <v>689418.3</v>
      </c>
      <c r="AJ27" s="48" t="s">
        <v>332</v>
      </c>
      <c r="AK27" s="48" t="s">
        <v>354</v>
      </c>
      <c r="AL27" s="48" t="s">
        <v>362</v>
      </c>
      <c r="AM27" s="48" t="s">
        <v>336</v>
      </c>
      <c r="AN27" s="52"/>
      <c r="AO27" s="48" t="s">
        <v>357</v>
      </c>
      <c r="AP27" s="123" t="s">
        <v>213</v>
      </c>
      <c r="AQ27" s="123" t="s">
        <v>214</v>
      </c>
      <c r="AR27" s="168" t="s">
        <v>160</v>
      </c>
    </row>
    <row r="28" spans="1:48">
      <c r="A28" s="156">
        <v>19</v>
      </c>
      <c r="B28" s="243" t="s">
        <v>287</v>
      </c>
      <c r="C28" s="245" t="s">
        <v>165</v>
      </c>
      <c r="D28" s="227" t="s">
        <v>197</v>
      </c>
      <c r="E28" s="124">
        <v>43725</v>
      </c>
      <c r="F28" s="246" t="s">
        <v>290</v>
      </c>
      <c r="G28" s="239">
        <v>6000000</v>
      </c>
      <c r="H28" s="287">
        <v>25</v>
      </c>
      <c r="I28" s="287">
        <v>0</v>
      </c>
      <c r="J28" s="287">
        <f t="shared" si="1"/>
        <v>25</v>
      </c>
      <c r="K28" s="161">
        <f t="shared" si="0"/>
        <v>6000000</v>
      </c>
      <c r="L28" s="50">
        <f>650000+750000</f>
        <v>1400000</v>
      </c>
      <c r="M28" s="162">
        <f t="shared" si="8"/>
        <v>7400000</v>
      </c>
      <c r="N28" s="51">
        <f>(7400000/12*12)</f>
        <v>7400000</v>
      </c>
      <c r="O28" s="50">
        <v>1000000</v>
      </c>
      <c r="P28" s="248">
        <v>281250</v>
      </c>
      <c r="Q28" s="172"/>
      <c r="R28" s="164">
        <f t="shared" si="2"/>
        <v>16081250</v>
      </c>
      <c r="S28" s="165">
        <f>(MIN(VALUE($G28),Assu!$E$3))*S$9</f>
        <v>480000</v>
      </c>
      <c r="T28" s="165">
        <f>(MIN(VALUE($G28),Assu!$E$3))*T$9</f>
        <v>90000</v>
      </c>
      <c r="U28" s="165">
        <f>(MIN(VALUE($G28),Assu!$E$5))*U$9</f>
        <v>60000</v>
      </c>
      <c r="V28" s="50">
        <f t="shared" si="33"/>
        <v>630000</v>
      </c>
      <c r="W28" s="159">
        <v>1</v>
      </c>
      <c r="X28" s="159">
        <f t="shared" si="3"/>
        <v>4400000</v>
      </c>
      <c r="Y28" s="159">
        <f t="shared" si="4"/>
        <v>11000000</v>
      </c>
      <c r="Z28" s="159">
        <f t="shared" si="5"/>
        <v>15400000</v>
      </c>
      <c r="AA28" s="159">
        <f t="shared" si="27"/>
        <v>51250</v>
      </c>
      <c r="AB28" s="164">
        <f t="shared" si="28"/>
        <v>2562.5</v>
      </c>
      <c r="AC28" s="159"/>
      <c r="AD28" s="166"/>
      <c r="AE28" s="164">
        <f t="shared" si="31"/>
        <v>15448687.5</v>
      </c>
      <c r="AF28" s="165">
        <f>(MIN(VALUE($G28),Assu!$E$3))*AF$9</f>
        <v>1410000</v>
      </c>
      <c r="AG28" s="165">
        <f>(MIN(VALUE($G28),Assu!$E$3))*AG$9</f>
        <v>2039999.9999999998</v>
      </c>
      <c r="AH28" s="165">
        <f t="shared" si="9"/>
        <v>1340104.1666666667</v>
      </c>
      <c r="AI28" s="165">
        <f t="shared" si="7"/>
        <v>2562.5</v>
      </c>
      <c r="AJ28" s="48" t="s">
        <v>332</v>
      </c>
      <c r="AK28" s="48" t="s">
        <v>355</v>
      </c>
      <c r="AL28" s="48" t="s">
        <v>362</v>
      </c>
      <c r="AM28" s="48" t="s">
        <v>335</v>
      </c>
      <c r="AN28" s="52"/>
      <c r="AO28" s="48"/>
      <c r="AP28" s="123" t="s">
        <v>289</v>
      </c>
      <c r="AQ28" s="123" t="s">
        <v>288</v>
      </c>
      <c r="AR28" s="168" t="s">
        <v>160</v>
      </c>
    </row>
    <row r="29" spans="1:48">
      <c r="A29" s="156">
        <v>20</v>
      </c>
      <c r="B29" s="243" t="s">
        <v>317</v>
      </c>
      <c r="C29" s="245" t="s">
        <v>165</v>
      </c>
      <c r="D29" s="227" t="s">
        <v>197</v>
      </c>
      <c r="E29" s="124">
        <v>44074</v>
      </c>
      <c r="F29" s="246" t="s">
        <v>321</v>
      </c>
      <c r="G29" s="239">
        <v>7000000</v>
      </c>
      <c r="H29" s="287">
        <v>25</v>
      </c>
      <c r="I29" s="287">
        <v>0</v>
      </c>
      <c r="J29" s="287">
        <f t="shared" si="1"/>
        <v>25</v>
      </c>
      <c r="K29" s="161">
        <f t="shared" si="0"/>
        <v>7000000</v>
      </c>
      <c r="L29" s="50">
        <f>1800000</f>
        <v>1800000</v>
      </c>
      <c r="M29" s="162">
        <f t="shared" si="8"/>
        <v>8800000</v>
      </c>
      <c r="N29" s="51">
        <f>(8800000/12*4)</f>
        <v>2933333.3333333335</v>
      </c>
      <c r="O29" s="50">
        <v>1000000</v>
      </c>
      <c r="P29" s="248">
        <v>6589173</v>
      </c>
      <c r="Q29" s="172"/>
      <c r="R29" s="164">
        <f t="shared" si="2"/>
        <v>19322506.333333336</v>
      </c>
      <c r="S29" s="165">
        <f>(MIN(VALUE($G29),Assu!$E$3))*S$9</f>
        <v>560000</v>
      </c>
      <c r="T29" s="165">
        <f>(MIN(VALUE($G29),Assu!$E$3))*T$9</f>
        <v>105000</v>
      </c>
      <c r="U29" s="165">
        <f>(MIN(VALUE($G29),Assu!$E$5))*U$9</f>
        <v>70000</v>
      </c>
      <c r="V29" s="50">
        <f t="shared" si="33"/>
        <v>735000</v>
      </c>
      <c r="W29" s="159">
        <v>0</v>
      </c>
      <c r="X29" s="159">
        <f t="shared" si="3"/>
        <v>0</v>
      </c>
      <c r="Y29" s="159">
        <f t="shared" si="4"/>
        <v>11000000</v>
      </c>
      <c r="Z29" s="159">
        <f t="shared" si="5"/>
        <v>11000000</v>
      </c>
      <c r="AA29" s="159">
        <f t="shared" si="27"/>
        <v>7587506.3333333358</v>
      </c>
      <c r="AB29" s="164">
        <f t="shared" si="28"/>
        <v>508750.63333333365</v>
      </c>
      <c r="AC29" s="159"/>
      <c r="AD29" s="166"/>
      <c r="AE29" s="164">
        <f t="shared" si="31"/>
        <v>18078755.700000003</v>
      </c>
      <c r="AF29" s="165">
        <f>(MIN(VALUE($G29),Assu!$E$3))*AF$9</f>
        <v>1645000</v>
      </c>
      <c r="AG29" s="165">
        <f>(MIN(VALUE($G29),Assu!$E$3))*AG$9</f>
        <v>2380000</v>
      </c>
      <c r="AH29" s="165">
        <f t="shared" si="9"/>
        <v>1610208.8611111112</v>
      </c>
      <c r="AI29" s="165">
        <f t="shared" si="7"/>
        <v>508750.63333333365</v>
      </c>
      <c r="AJ29" s="48" t="s">
        <v>332</v>
      </c>
      <c r="AK29" s="48" t="s">
        <v>356</v>
      </c>
      <c r="AL29" s="48" t="s">
        <v>362</v>
      </c>
      <c r="AM29" s="48" t="s">
        <v>336</v>
      </c>
      <c r="AN29" s="52"/>
      <c r="AO29" s="48"/>
      <c r="AP29" s="123" t="s">
        <v>318</v>
      </c>
      <c r="AQ29" s="123" t="s">
        <v>319</v>
      </c>
      <c r="AR29" s="168" t="s">
        <v>160</v>
      </c>
    </row>
    <row r="30" spans="1:48">
      <c r="A30" s="156">
        <v>21</v>
      </c>
      <c r="B30" s="157" t="s">
        <v>126</v>
      </c>
      <c r="C30" s="244" t="s">
        <v>168</v>
      </c>
      <c r="D30" s="47" t="s">
        <v>194</v>
      </c>
      <c r="E30" s="124">
        <v>41883</v>
      </c>
      <c r="F30" s="247" t="s">
        <v>127</v>
      </c>
      <c r="G30" s="239">
        <v>0</v>
      </c>
      <c r="H30" s="287">
        <v>24</v>
      </c>
      <c r="I30" s="287">
        <v>0</v>
      </c>
      <c r="J30" s="287">
        <f>H30+I30</f>
        <v>24</v>
      </c>
      <c r="K30" s="161">
        <f>G30/H30*J30</f>
        <v>0</v>
      </c>
      <c r="L30" s="161"/>
      <c r="M30" s="162">
        <f>SUM(K30:L30)</f>
        <v>0</v>
      </c>
      <c r="N30" s="159"/>
      <c r="O30" s="50"/>
      <c r="P30" s="50"/>
      <c r="Q30" s="172"/>
      <c r="R30" s="164">
        <f>SUM(M30:Q30)</f>
        <v>0</v>
      </c>
      <c r="S30" s="165">
        <f>(MIN(VALUE($G30),13000000*20))*S$9</f>
        <v>0</v>
      </c>
      <c r="T30" s="165">
        <f>(MIN(VALUE($G30),13000000*20))*T$9</f>
        <v>0</v>
      </c>
      <c r="U30" s="165">
        <f>(MIN(VALUE($G30),13000000*20))*U$9</f>
        <v>0</v>
      </c>
      <c r="V30" s="159">
        <f>SUM(S30:U30)</f>
        <v>0</v>
      </c>
      <c r="W30" s="159">
        <v>0</v>
      </c>
      <c r="X30" s="159">
        <f>W30*$X$9</f>
        <v>0</v>
      </c>
      <c r="Y30" s="159">
        <f t="shared" ref="Y30" si="35">IF(VALUE(R30)=0,0,$Y$9)</f>
        <v>0</v>
      </c>
      <c r="Z30" s="159">
        <f>SUM(X30:Y30)</f>
        <v>0</v>
      </c>
      <c r="AA30" s="159">
        <f>IF((R30-V30-Z30)&lt;0,0,(R30-V30-Z30))</f>
        <v>0</v>
      </c>
      <c r="AB30" s="164">
        <f>IF(AND(AA30&lt;10000000,AA30&gt;5000000),AA30*10%-250000,IF(AND(AA30&lt;18000000,AA30&gt;10000000),AA30*15%-750000,IF(AND(AA30&lt;32000000,AA30&gt;18000000),AA30*20%-1650000,IF(AND(AA30&lt;52000000,AA30&gt;32000000),AA30*25%-3250000,IF(AND(AA30&lt;80000000,AA30&gt;52000000),AA30*30%-5850000,IF(AA30&gt;80000000,AA30*35%-9850000,AA30*5%))))))</f>
        <v>0</v>
      </c>
      <c r="AC30" s="159"/>
      <c r="AD30" s="166">
        <v>3901279</v>
      </c>
      <c r="AE30" s="164">
        <f t="shared" si="31"/>
        <v>3901279</v>
      </c>
      <c r="AF30" s="165">
        <f>(MIN(VALUE($G30),13000000*20))*AF$9</f>
        <v>0</v>
      </c>
      <c r="AG30" s="165">
        <f>(MIN(VALUE($G30),13000000*20))*AG$9</f>
        <v>0</v>
      </c>
      <c r="AH30" s="165"/>
      <c r="AI30" s="165">
        <f>AB30</f>
        <v>0</v>
      </c>
      <c r="AJ30" s="48"/>
      <c r="AK30" s="48"/>
      <c r="AL30" s="48"/>
      <c r="AM30" s="48"/>
      <c r="AN30" s="167"/>
      <c r="AO30" s="48" t="s">
        <v>357</v>
      </c>
      <c r="AP30" s="123" t="s">
        <v>227</v>
      </c>
      <c r="AQ30" s="123" t="s">
        <v>141</v>
      </c>
      <c r="AR30" s="168" t="s">
        <v>160</v>
      </c>
    </row>
    <row r="31" spans="1:48">
      <c r="A31" s="156">
        <v>22</v>
      </c>
      <c r="B31" s="120" t="s">
        <v>208</v>
      </c>
      <c r="C31" s="245" t="s">
        <v>165</v>
      </c>
      <c r="D31" s="227" t="s">
        <v>206</v>
      </c>
      <c r="E31" s="124">
        <v>43354</v>
      </c>
      <c r="F31" s="246" t="s">
        <v>279</v>
      </c>
      <c r="G31" s="239">
        <v>0</v>
      </c>
      <c r="H31" s="287">
        <v>25</v>
      </c>
      <c r="I31" s="287">
        <v>0</v>
      </c>
      <c r="J31" s="287">
        <v>12</v>
      </c>
      <c r="K31" s="161">
        <f>G31/H31*J31</f>
        <v>0</v>
      </c>
      <c r="L31" s="51"/>
      <c r="M31" s="162">
        <f t="shared" ref="M31:M32" si="36">SUM(K31:L31)</f>
        <v>0</v>
      </c>
      <c r="N31" s="159"/>
      <c r="O31" s="50"/>
      <c r="P31" s="50"/>
      <c r="Q31" s="172"/>
      <c r="R31" s="164">
        <f t="shared" ref="R31:R32" si="37">SUM(M31:Q31)</f>
        <v>0</v>
      </c>
      <c r="S31" s="165">
        <f t="shared" ref="S31:U32" si="38">(MIN(VALUE($G31),13000000*20))*S$9</f>
        <v>0</v>
      </c>
      <c r="T31" s="165">
        <f t="shared" si="38"/>
        <v>0</v>
      </c>
      <c r="U31" s="165">
        <f t="shared" si="38"/>
        <v>0</v>
      </c>
      <c r="V31" s="159">
        <f t="shared" ref="V31:V32" si="39">SUM(S31:U31)</f>
        <v>0</v>
      </c>
      <c r="W31" s="159">
        <v>0</v>
      </c>
      <c r="X31" s="159">
        <f>W31*$X$9</f>
        <v>0</v>
      </c>
      <c r="Y31" s="159">
        <f>IF(VALUE(R31)=0,0,$Y$9)</f>
        <v>0</v>
      </c>
      <c r="Z31" s="159">
        <f t="shared" ref="Z31:Z32" si="40">SUM(X31:Y31)</f>
        <v>0</v>
      </c>
      <c r="AA31" s="159">
        <f t="shared" ref="AA31:AA32" si="41">IF((R31-V31-Z31)&lt;0,0,(R31-V31-Z31))</f>
        <v>0</v>
      </c>
      <c r="AB31" s="164">
        <f t="shared" ref="AB31:AB32" si="42">IF(AND(AA31&lt;10000000,AA31&gt;5000000),AA31*10%-250000,IF(AND(AA31&lt;18000000,AA31&gt;10000000),AA31*15%-750000,IF(AND(AA31&lt;32000000,AA31&gt;18000000),AA31*20%-1650000,IF(AND(AA31&lt;52000000,AA31&gt;32000000),AA31*25%-3250000,IF(AND(AA31&lt;80000000,AA31&gt;52000000),AA31*30%-5850000,IF(AA31&gt;80000000,AA31*35%-9850000,AA31*5%))))))</f>
        <v>0</v>
      </c>
      <c r="AC31" s="159"/>
      <c r="AD31" s="166">
        <v>612050</v>
      </c>
      <c r="AE31" s="164">
        <f t="shared" si="31"/>
        <v>612050</v>
      </c>
      <c r="AF31" s="165">
        <f t="shared" ref="AF31:AG32" si="43">(MIN(VALUE($G31),13000000*20))*AF$9</f>
        <v>0</v>
      </c>
      <c r="AG31" s="165">
        <f t="shared" si="43"/>
        <v>0</v>
      </c>
      <c r="AH31" s="165">
        <f t="shared" ref="AH31:AH32" si="44">R31*$AH$9/12</f>
        <v>0</v>
      </c>
      <c r="AI31" s="165">
        <f>AB31</f>
        <v>0</v>
      </c>
      <c r="AJ31" s="48"/>
      <c r="AK31" s="48"/>
      <c r="AL31" s="48"/>
      <c r="AM31" s="48"/>
      <c r="AN31" s="48"/>
      <c r="AO31" s="48" t="s">
        <v>357</v>
      </c>
      <c r="AP31" s="123" t="s">
        <v>210</v>
      </c>
      <c r="AQ31" s="123" t="s">
        <v>209</v>
      </c>
      <c r="AR31" s="168" t="s">
        <v>160</v>
      </c>
    </row>
    <row r="32" spans="1:48">
      <c r="A32" s="156">
        <v>23</v>
      </c>
      <c r="B32" s="157" t="s">
        <v>164</v>
      </c>
      <c r="C32" s="244" t="s">
        <v>168</v>
      </c>
      <c r="D32" s="227" t="s">
        <v>166</v>
      </c>
      <c r="E32" s="124">
        <v>42933</v>
      </c>
      <c r="F32" s="246" t="s">
        <v>167</v>
      </c>
      <c r="G32" s="239">
        <v>0</v>
      </c>
      <c r="H32" s="287">
        <v>25</v>
      </c>
      <c r="I32" s="287">
        <v>0</v>
      </c>
      <c r="J32" s="287">
        <f t="shared" ref="J32" si="45">H32+I32</f>
        <v>25</v>
      </c>
      <c r="K32" s="161">
        <f t="shared" ref="K32" si="46">G32/H32*J32</f>
        <v>0</v>
      </c>
      <c r="L32" s="51"/>
      <c r="M32" s="162">
        <f t="shared" si="36"/>
        <v>0</v>
      </c>
      <c r="N32" s="159"/>
      <c r="O32" s="50"/>
      <c r="P32" s="50"/>
      <c r="Q32" s="172"/>
      <c r="R32" s="164">
        <f t="shared" si="37"/>
        <v>0</v>
      </c>
      <c r="S32" s="165">
        <f t="shared" si="38"/>
        <v>0</v>
      </c>
      <c r="T32" s="165">
        <f t="shared" si="38"/>
        <v>0</v>
      </c>
      <c r="U32" s="165">
        <f t="shared" si="38"/>
        <v>0</v>
      </c>
      <c r="V32" s="159">
        <f t="shared" si="39"/>
        <v>0</v>
      </c>
      <c r="W32" s="159">
        <v>0</v>
      </c>
      <c r="X32" s="159">
        <f t="shared" ref="X32" si="47">W32*$X$9</f>
        <v>0</v>
      </c>
      <c r="Y32" s="159">
        <f t="shared" ref="Y32" si="48">IF(VALUE(R32)=0,0,$Y$9)</f>
        <v>0</v>
      </c>
      <c r="Z32" s="159">
        <f t="shared" si="40"/>
        <v>0</v>
      </c>
      <c r="AA32" s="159">
        <f t="shared" si="41"/>
        <v>0</v>
      </c>
      <c r="AB32" s="164">
        <f t="shared" si="42"/>
        <v>0</v>
      </c>
      <c r="AC32" s="159"/>
      <c r="AD32" s="166">
        <v>996750</v>
      </c>
      <c r="AE32" s="164">
        <f t="shared" si="31"/>
        <v>996750</v>
      </c>
      <c r="AF32" s="165">
        <f t="shared" si="43"/>
        <v>0</v>
      </c>
      <c r="AG32" s="165">
        <f t="shared" si="43"/>
        <v>0</v>
      </c>
      <c r="AH32" s="165">
        <f t="shared" si="44"/>
        <v>0</v>
      </c>
      <c r="AI32" s="165">
        <f t="shared" ref="AI32" si="49">AB32</f>
        <v>0</v>
      </c>
      <c r="AJ32" s="153"/>
      <c r="AK32" s="48"/>
      <c r="AL32" s="48"/>
      <c r="AM32" s="153"/>
      <c r="AN32" s="52"/>
      <c r="AO32" s="48" t="s">
        <v>357</v>
      </c>
      <c r="AP32" s="123" t="s">
        <v>224</v>
      </c>
      <c r="AQ32" s="123" t="s">
        <v>142</v>
      </c>
      <c r="AR32" s="168" t="s">
        <v>160</v>
      </c>
    </row>
    <row r="33" spans="1:44">
      <c r="A33" s="156">
        <v>24</v>
      </c>
      <c r="B33" s="157" t="s">
        <v>128</v>
      </c>
      <c r="C33" s="152" t="s">
        <v>129</v>
      </c>
      <c r="D33" s="152" t="s">
        <v>171</v>
      </c>
      <c r="E33" s="152">
        <v>42552</v>
      </c>
      <c r="F33" s="158" t="s">
        <v>130</v>
      </c>
      <c r="G33" s="239">
        <v>0</v>
      </c>
      <c r="H33" s="287">
        <v>24</v>
      </c>
      <c r="I33" s="287">
        <v>0</v>
      </c>
      <c r="J33" s="287">
        <f t="shared" si="1"/>
        <v>24</v>
      </c>
      <c r="K33" s="161">
        <f t="shared" si="0"/>
        <v>0</v>
      </c>
      <c r="L33" s="51"/>
      <c r="M33" s="162">
        <f t="shared" si="8"/>
        <v>0</v>
      </c>
      <c r="N33" s="159"/>
      <c r="O33" s="50"/>
      <c r="P33" s="50"/>
      <c r="Q33" s="172"/>
      <c r="R33" s="164">
        <f t="shared" ref="R33:R39" si="50">SUM(M33:Q33)</f>
        <v>0</v>
      </c>
      <c r="S33" s="165">
        <f t="shared" ref="S33:U36" si="51">(MIN(VALUE($G33),13000000*20))*S$9</f>
        <v>0</v>
      </c>
      <c r="T33" s="165">
        <f t="shared" si="51"/>
        <v>0</v>
      </c>
      <c r="U33" s="165">
        <f t="shared" si="51"/>
        <v>0</v>
      </c>
      <c r="V33" s="159">
        <f t="shared" ref="V33:V36" si="52">SUM(S33:U33)</f>
        <v>0</v>
      </c>
      <c r="W33" s="159">
        <v>0</v>
      </c>
      <c r="X33" s="159">
        <f t="shared" si="3"/>
        <v>0</v>
      </c>
      <c r="Y33" s="159">
        <f t="shared" si="4"/>
        <v>0</v>
      </c>
      <c r="Z33" s="159">
        <f t="shared" si="5"/>
        <v>0</v>
      </c>
      <c r="AA33" s="159">
        <f t="shared" si="27"/>
        <v>0</v>
      </c>
      <c r="AB33" s="164">
        <f t="shared" si="28"/>
        <v>0</v>
      </c>
      <c r="AC33" s="159"/>
      <c r="AD33" s="166">
        <v>1797985</v>
      </c>
      <c r="AE33" s="164">
        <f t="shared" si="31"/>
        <v>1797985</v>
      </c>
      <c r="AF33" s="165">
        <f t="shared" ref="AF33:AG36" si="53">(MIN(VALUE($G33),13000000*20))*AF$9</f>
        <v>0</v>
      </c>
      <c r="AG33" s="165">
        <f t="shared" si="53"/>
        <v>0</v>
      </c>
      <c r="AH33" s="165">
        <f t="shared" si="9"/>
        <v>0</v>
      </c>
      <c r="AI33" s="165">
        <f t="shared" si="7"/>
        <v>0</v>
      </c>
      <c r="AJ33" s="48"/>
      <c r="AK33" s="48"/>
      <c r="AL33" s="48"/>
      <c r="AM33" s="153"/>
      <c r="AN33" s="52"/>
      <c r="AO33" s="48" t="s">
        <v>357</v>
      </c>
      <c r="AP33" s="123" t="s">
        <v>231</v>
      </c>
      <c r="AQ33" s="168" t="s">
        <v>172</v>
      </c>
      <c r="AR33" s="168" t="s">
        <v>160</v>
      </c>
    </row>
    <row r="34" spans="1:44" s="176" customFormat="1">
      <c r="A34" s="156">
        <v>25</v>
      </c>
      <c r="B34" s="157" t="s">
        <v>131</v>
      </c>
      <c r="C34" s="152" t="s">
        <v>129</v>
      </c>
      <c r="D34" s="47" t="s">
        <v>195</v>
      </c>
      <c r="E34" s="152">
        <v>42552</v>
      </c>
      <c r="F34" s="175" t="s">
        <v>132</v>
      </c>
      <c r="G34" s="239">
        <v>0</v>
      </c>
      <c r="H34" s="287">
        <v>24</v>
      </c>
      <c r="I34" s="287">
        <v>0</v>
      </c>
      <c r="J34" s="287">
        <f t="shared" si="1"/>
        <v>24</v>
      </c>
      <c r="K34" s="161">
        <f t="shared" si="0"/>
        <v>0</v>
      </c>
      <c r="L34" s="51"/>
      <c r="M34" s="162">
        <f t="shared" si="8"/>
        <v>0</v>
      </c>
      <c r="N34" s="159"/>
      <c r="O34" s="50"/>
      <c r="P34" s="50"/>
      <c r="Q34" s="172"/>
      <c r="R34" s="164">
        <f t="shared" si="50"/>
        <v>0</v>
      </c>
      <c r="S34" s="165">
        <f t="shared" si="51"/>
        <v>0</v>
      </c>
      <c r="T34" s="165">
        <f t="shared" si="51"/>
        <v>0</v>
      </c>
      <c r="U34" s="165">
        <f t="shared" si="51"/>
        <v>0</v>
      </c>
      <c r="V34" s="159">
        <f t="shared" si="52"/>
        <v>0</v>
      </c>
      <c r="W34" s="159">
        <v>0</v>
      </c>
      <c r="X34" s="159">
        <f t="shared" si="3"/>
        <v>0</v>
      </c>
      <c r="Y34" s="159">
        <f>IF(VALUE(R34)=0,0,$Y$9)</f>
        <v>0</v>
      </c>
      <c r="Z34" s="159">
        <f t="shared" si="5"/>
        <v>0</v>
      </c>
      <c r="AA34" s="159">
        <f t="shared" si="27"/>
        <v>0</v>
      </c>
      <c r="AB34" s="164">
        <f t="shared" si="28"/>
        <v>0</v>
      </c>
      <c r="AC34" s="159"/>
      <c r="AD34" s="166">
        <v>1225950</v>
      </c>
      <c r="AE34" s="164">
        <f t="shared" si="31"/>
        <v>1225950</v>
      </c>
      <c r="AF34" s="165">
        <f t="shared" si="53"/>
        <v>0</v>
      </c>
      <c r="AG34" s="165">
        <f t="shared" si="53"/>
        <v>0</v>
      </c>
      <c r="AH34" s="165">
        <f t="shared" si="9"/>
        <v>0</v>
      </c>
      <c r="AI34" s="165">
        <f>AB34</f>
        <v>0</v>
      </c>
      <c r="AJ34" s="153"/>
      <c r="AK34" s="48"/>
      <c r="AL34" s="48"/>
      <c r="AM34" s="153"/>
      <c r="AN34" s="52"/>
      <c r="AO34" s="48" t="s">
        <v>357</v>
      </c>
      <c r="AP34" s="123" t="s">
        <v>232</v>
      </c>
      <c r="AQ34" s="168" t="s">
        <v>173</v>
      </c>
      <c r="AR34" s="158" t="s">
        <v>160</v>
      </c>
    </row>
    <row r="35" spans="1:44">
      <c r="A35" s="156">
        <v>26</v>
      </c>
      <c r="B35" s="243" t="s">
        <v>207</v>
      </c>
      <c r="C35" s="152" t="s">
        <v>129</v>
      </c>
      <c r="D35" s="47" t="s">
        <v>174</v>
      </c>
      <c r="E35" s="124">
        <v>43325</v>
      </c>
      <c r="F35" s="171" t="s">
        <v>285</v>
      </c>
      <c r="G35" s="239">
        <v>0</v>
      </c>
      <c r="H35" s="287">
        <v>24</v>
      </c>
      <c r="I35" s="287">
        <v>0</v>
      </c>
      <c r="J35" s="287">
        <f>H35+I35</f>
        <v>24</v>
      </c>
      <c r="K35" s="161">
        <f>G35/H35*J35</f>
        <v>0</v>
      </c>
      <c r="L35" s="172"/>
      <c r="M35" s="162">
        <f>SUM(K35:L35)</f>
        <v>0</v>
      </c>
      <c r="N35" s="159"/>
      <c r="O35" s="50"/>
      <c r="P35" s="50"/>
      <c r="Q35" s="172"/>
      <c r="R35" s="164">
        <f>SUM(M35:Q35)</f>
        <v>0</v>
      </c>
      <c r="S35" s="165">
        <f>(MIN(VALUE($G35),13000000*20))*S$9</f>
        <v>0</v>
      </c>
      <c r="T35" s="165">
        <f>(MIN(VALUE($G35),13000000*20))*T$9</f>
        <v>0</v>
      </c>
      <c r="U35" s="165">
        <f>(MIN(VALUE($G35),13000000*20))*U$9</f>
        <v>0</v>
      </c>
      <c r="V35" s="159">
        <f>SUM(S35:U35)</f>
        <v>0</v>
      </c>
      <c r="W35" s="159">
        <v>0</v>
      </c>
      <c r="X35" s="159">
        <f>W35*$X$9</f>
        <v>0</v>
      </c>
      <c r="Y35" s="159">
        <f>IF(VALUE(R35)=0,0,$Y$9)</f>
        <v>0</v>
      </c>
      <c r="Z35" s="159">
        <f>SUM(X35:Y35)</f>
        <v>0</v>
      </c>
      <c r="AA35" s="159">
        <f>IF((R35-V35-Z35)&lt;0,0,(R35-V35-Z35))</f>
        <v>0</v>
      </c>
      <c r="AB35" s="164">
        <f>IF(AND(AA35&lt;10000000,AA35&gt;5000000),AA35*10%-250000,IF(AND(AA35&lt;18000000,AA35&gt;10000000),AA35*15%-750000,IF(AND(AA35&lt;32000000,AA35&gt;18000000),AA35*20%-1650000,IF(AND(AA35&lt;52000000,AA35&gt;32000000),AA35*25%-3250000,IF(AND(AA35&lt;80000000,AA35&gt;52000000),AA35*30%-5850000,IF(AA35&gt;80000000,AA35*35%-9850000,AA35*5%))))))</f>
        <v>0</v>
      </c>
      <c r="AC35" s="159"/>
      <c r="AD35" s="166">
        <v>204155</v>
      </c>
      <c r="AE35" s="164">
        <f t="shared" si="31"/>
        <v>204155</v>
      </c>
      <c r="AF35" s="165">
        <f>(MIN(VALUE($G35),13000000*20))*AF$9</f>
        <v>0</v>
      </c>
      <c r="AG35" s="165">
        <f>(MIN(VALUE($G35),13000000*20))*AG$9</f>
        <v>0</v>
      </c>
      <c r="AH35" s="165">
        <f>R35*$AH$9/12</f>
        <v>0</v>
      </c>
      <c r="AI35" s="165">
        <f t="shared" ref="AI35" si="54">AB35</f>
        <v>0</v>
      </c>
      <c r="AJ35" s="48"/>
      <c r="AK35" s="48"/>
      <c r="AL35" s="48"/>
      <c r="AM35" s="48"/>
      <c r="AN35" s="52"/>
      <c r="AO35" s="48" t="s">
        <v>357</v>
      </c>
      <c r="AP35" s="123" t="s">
        <v>234</v>
      </c>
      <c r="AQ35" s="123" t="s">
        <v>215</v>
      </c>
      <c r="AR35" s="168" t="s">
        <v>160</v>
      </c>
    </row>
    <row r="36" spans="1:44">
      <c r="A36" s="156">
        <v>27</v>
      </c>
      <c r="B36" s="157" t="s">
        <v>133</v>
      </c>
      <c r="C36" s="152" t="s">
        <v>129</v>
      </c>
      <c r="D36" s="47" t="s">
        <v>195</v>
      </c>
      <c r="E36" s="152">
        <v>42606</v>
      </c>
      <c r="F36" s="171" t="s">
        <v>134</v>
      </c>
      <c r="G36" s="239">
        <v>0</v>
      </c>
      <c r="H36" s="287">
        <v>24</v>
      </c>
      <c r="I36" s="287">
        <v>0</v>
      </c>
      <c r="J36" s="287">
        <f t="shared" si="1"/>
        <v>24</v>
      </c>
      <c r="K36" s="242">
        <f t="shared" si="0"/>
        <v>0</v>
      </c>
      <c r="L36" s="51"/>
      <c r="M36" s="162">
        <f t="shared" si="8"/>
        <v>0</v>
      </c>
      <c r="N36" s="159"/>
      <c r="O36" s="50"/>
      <c r="P36" s="50"/>
      <c r="Q36" s="172"/>
      <c r="R36" s="164">
        <f t="shared" si="50"/>
        <v>0</v>
      </c>
      <c r="S36" s="165">
        <f t="shared" si="51"/>
        <v>0</v>
      </c>
      <c r="T36" s="165">
        <f t="shared" si="51"/>
        <v>0</v>
      </c>
      <c r="U36" s="165">
        <f t="shared" si="51"/>
        <v>0</v>
      </c>
      <c r="V36" s="159">
        <f t="shared" si="52"/>
        <v>0</v>
      </c>
      <c r="W36" s="159">
        <v>0</v>
      </c>
      <c r="X36" s="159">
        <f>W36*$X$9</f>
        <v>0</v>
      </c>
      <c r="Y36" s="159">
        <f>IF(VALUE(R36)=0,0,$Y$9)</f>
        <v>0</v>
      </c>
      <c r="Z36" s="159">
        <f t="shared" si="5"/>
        <v>0</v>
      </c>
      <c r="AA36" s="159">
        <f t="shared" si="27"/>
        <v>0</v>
      </c>
      <c r="AB36" s="164">
        <f t="shared" si="28"/>
        <v>0</v>
      </c>
      <c r="AC36" s="159"/>
      <c r="AD36" s="166">
        <v>0</v>
      </c>
      <c r="AE36" s="164">
        <f t="shared" si="31"/>
        <v>0</v>
      </c>
      <c r="AF36" s="165">
        <f t="shared" si="53"/>
        <v>0</v>
      </c>
      <c r="AG36" s="165">
        <f t="shared" si="53"/>
        <v>0</v>
      </c>
      <c r="AH36" s="165">
        <f t="shared" si="9"/>
        <v>0</v>
      </c>
      <c r="AI36" s="165">
        <f>AB36</f>
        <v>0</v>
      </c>
      <c r="AJ36" s="48"/>
      <c r="AK36" s="48"/>
      <c r="AL36" s="48"/>
      <c r="AM36" s="153"/>
      <c r="AN36" s="52"/>
      <c r="AO36" s="48"/>
      <c r="AP36" s="123" t="s">
        <v>233</v>
      </c>
      <c r="AQ36" s="168" t="s">
        <v>175</v>
      </c>
      <c r="AR36" s="168" t="s">
        <v>160</v>
      </c>
    </row>
    <row r="37" spans="1:44">
      <c r="A37" s="156">
        <v>28</v>
      </c>
      <c r="B37" s="243"/>
      <c r="C37" s="47"/>
      <c r="D37" s="47"/>
      <c r="E37" s="124"/>
      <c r="F37" s="171"/>
      <c r="G37" s="239">
        <v>0</v>
      </c>
      <c r="H37" s="287">
        <v>25</v>
      </c>
      <c r="I37" s="287">
        <v>0</v>
      </c>
      <c r="J37" s="287">
        <f t="shared" si="1"/>
        <v>25</v>
      </c>
      <c r="K37" s="161">
        <f t="shared" si="0"/>
        <v>0</v>
      </c>
      <c r="L37" s="161"/>
      <c r="M37" s="162">
        <f t="shared" si="8"/>
        <v>0</v>
      </c>
      <c r="N37" s="159"/>
      <c r="O37" s="50"/>
      <c r="P37" s="50"/>
      <c r="Q37" s="172"/>
      <c r="R37" s="164">
        <f t="shared" si="50"/>
        <v>0</v>
      </c>
      <c r="S37" s="165">
        <f>(MIN(VALUE($G37),Assu!$E$3))*S$9</f>
        <v>0</v>
      </c>
      <c r="T37" s="165">
        <f>(MIN(VALUE($G37),Assu!$E$3))*T$9</f>
        <v>0</v>
      </c>
      <c r="U37" s="165">
        <f>(MIN(VALUE($G37),Assu!$E$5))*U$9</f>
        <v>0</v>
      </c>
      <c r="V37" s="50">
        <f t="shared" si="33"/>
        <v>0</v>
      </c>
      <c r="W37" s="159">
        <v>0</v>
      </c>
      <c r="X37" s="159">
        <f t="shared" si="3"/>
        <v>0</v>
      </c>
      <c r="Y37" s="159">
        <f>IF(VALUE(R37)=0,0,$Y$9)</f>
        <v>0</v>
      </c>
      <c r="Z37" s="159">
        <f t="shared" si="5"/>
        <v>0</v>
      </c>
      <c r="AA37" s="159">
        <f t="shared" si="27"/>
        <v>0</v>
      </c>
      <c r="AB37" s="164">
        <f t="shared" si="28"/>
        <v>0</v>
      </c>
      <c r="AC37" s="159"/>
      <c r="AD37" s="166"/>
      <c r="AE37" s="164">
        <f t="shared" si="31"/>
        <v>0</v>
      </c>
      <c r="AF37" s="165">
        <f>(MIN(VALUE($G37),Assu!$E$3))*AF$9</f>
        <v>0</v>
      </c>
      <c r="AG37" s="165">
        <f>(MIN(VALUE($G37),Assu!$E$3))*AG$9</f>
        <v>0</v>
      </c>
      <c r="AH37" s="165"/>
      <c r="AI37" s="165">
        <f t="shared" si="7"/>
        <v>0</v>
      </c>
      <c r="AJ37" s="48"/>
      <c r="AK37" s="48"/>
      <c r="AL37" s="48"/>
      <c r="AM37" s="48"/>
      <c r="AN37" s="52"/>
      <c r="AO37" s="52"/>
      <c r="AP37" s="123"/>
      <c r="AQ37" s="123"/>
      <c r="AR37" s="168"/>
    </row>
    <row r="38" spans="1:44">
      <c r="A38" s="156">
        <v>29</v>
      </c>
      <c r="B38" s="157"/>
      <c r="C38" s="47"/>
      <c r="D38" s="47"/>
      <c r="E38" s="124"/>
      <c r="F38" s="247"/>
      <c r="G38" s="239">
        <v>0</v>
      </c>
      <c r="H38" s="287">
        <v>25</v>
      </c>
      <c r="I38" s="287">
        <v>0</v>
      </c>
      <c r="J38" s="287">
        <f t="shared" si="1"/>
        <v>25</v>
      </c>
      <c r="K38" s="161">
        <f t="shared" si="0"/>
        <v>0</v>
      </c>
      <c r="L38" s="161"/>
      <c r="M38" s="162">
        <f t="shared" si="8"/>
        <v>0</v>
      </c>
      <c r="N38" s="159"/>
      <c r="O38" s="50"/>
      <c r="P38" s="50"/>
      <c r="Q38" s="172"/>
      <c r="R38" s="164">
        <f t="shared" si="50"/>
        <v>0</v>
      </c>
      <c r="S38" s="165">
        <f>(MIN(VALUE($G38),Assu!$E$3))*S$9</f>
        <v>0</v>
      </c>
      <c r="T38" s="165">
        <f>(MIN(VALUE($G38),Assu!$E$3))*T$9</f>
        <v>0</v>
      </c>
      <c r="U38" s="165">
        <f>(MIN(VALUE($G38),Assu!$E$5))*U$9</f>
        <v>0</v>
      </c>
      <c r="V38" s="159">
        <f t="shared" si="33"/>
        <v>0</v>
      </c>
      <c r="W38" s="159">
        <v>0</v>
      </c>
      <c r="X38" s="159">
        <f t="shared" si="3"/>
        <v>0</v>
      </c>
      <c r="Y38" s="159">
        <f t="shared" ref="Y38:Y39" si="55">IF(VALUE(R38)=0,0,$Y$9)</f>
        <v>0</v>
      </c>
      <c r="Z38" s="159">
        <f t="shared" si="5"/>
        <v>0</v>
      </c>
      <c r="AA38" s="159">
        <f t="shared" si="27"/>
        <v>0</v>
      </c>
      <c r="AB38" s="164">
        <f t="shared" si="28"/>
        <v>0</v>
      </c>
      <c r="AC38" s="159"/>
      <c r="AD38" s="166"/>
      <c r="AE38" s="164">
        <f t="shared" si="31"/>
        <v>0</v>
      </c>
      <c r="AF38" s="165">
        <f>(MIN(VALUE($G38),Assu!$E$3))*AF$9</f>
        <v>0</v>
      </c>
      <c r="AG38" s="165">
        <f>(MIN(VALUE($G38),Assu!$E$3))*AG$9</f>
        <v>0</v>
      </c>
      <c r="AH38" s="165"/>
      <c r="AI38" s="165">
        <f t="shared" si="7"/>
        <v>0</v>
      </c>
      <c r="AJ38" s="48"/>
      <c r="AK38" s="48"/>
      <c r="AL38" s="48"/>
      <c r="AM38" s="48"/>
      <c r="AN38" s="167"/>
      <c r="AO38" s="167"/>
      <c r="AP38" s="123"/>
      <c r="AQ38" s="168"/>
      <c r="AR38" s="168"/>
    </row>
    <row r="39" spans="1:44">
      <c r="A39" s="156">
        <v>30</v>
      </c>
      <c r="B39" s="157"/>
      <c r="C39" s="47"/>
      <c r="D39" s="47"/>
      <c r="E39" s="152"/>
      <c r="F39" s="171"/>
      <c r="G39" s="239">
        <v>0</v>
      </c>
      <c r="H39" s="287">
        <v>25</v>
      </c>
      <c r="I39" s="287">
        <v>0</v>
      </c>
      <c r="J39" s="287">
        <f t="shared" si="1"/>
        <v>25</v>
      </c>
      <c r="K39" s="161"/>
      <c r="L39" s="161"/>
      <c r="M39" s="162">
        <f t="shared" si="8"/>
        <v>0</v>
      </c>
      <c r="N39" s="159"/>
      <c r="O39" s="50"/>
      <c r="P39" s="50"/>
      <c r="Q39" s="172"/>
      <c r="R39" s="164">
        <f t="shared" si="50"/>
        <v>0</v>
      </c>
      <c r="S39" s="165">
        <f>(MIN(VALUE($G39),Assu!$E$3))*S$9</f>
        <v>0</v>
      </c>
      <c r="T39" s="165">
        <f>(MIN(VALUE($G39),Assu!$E$3))*T$9</f>
        <v>0</v>
      </c>
      <c r="U39" s="165">
        <f>(MIN(VALUE($G39),Assu!$E$5))*U$9</f>
        <v>0</v>
      </c>
      <c r="V39" s="159">
        <f t="shared" si="33"/>
        <v>0</v>
      </c>
      <c r="W39" s="159">
        <v>0</v>
      </c>
      <c r="X39" s="159">
        <f t="shared" si="3"/>
        <v>0</v>
      </c>
      <c r="Y39" s="159">
        <f t="shared" si="55"/>
        <v>0</v>
      </c>
      <c r="Z39" s="159">
        <f t="shared" si="5"/>
        <v>0</v>
      </c>
      <c r="AA39" s="159">
        <f t="shared" si="27"/>
        <v>0</v>
      </c>
      <c r="AB39" s="164">
        <f t="shared" si="28"/>
        <v>0</v>
      </c>
      <c r="AC39" s="159"/>
      <c r="AD39" s="166"/>
      <c r="AE39" s="164">
        <f t="shared" si="31"/>
        <v>0</v>
      </c>
      <c r="AF39" s="165">
        <f>(MIN(VALUE($G39),Assu!$E$3))*AF$9</f>
        <v>0</v>
      </c>
      <c r="AG39" s="165">
        <f>(MIN(VALUE($G39),Assu!$E$3))*AG$9</f>
        <v>0</v>
      </c>
      <c r="AH39" s="165"/>
      <c r="AI39" s="165"/>
      <c r="AJ39" s="48"/>
      <c r="AK39" s="153"/>
      <c r="AL39" s="153"/>
      <c r="AM39" s="153"/>
      <c r="AN39" s="167"/>
      <c r="AO39" s="167"/>
      <c r="AP39" s="168"/>
      <c r="AQ39" s="168"/>
      <c r="AR39" s="168"/>
    </row>
    <row r="40" spans="1:44">
      <c r="A40" s="156"/>
      <c r="B40" s="157"/>
      <c r="C40" s="152"/>
      <c r="D40" s="152"/>
      <c r="E40" s="152"/>
      <c r="F40" s="171"/>
      <c r="G40" s="239"/>
      <c r="H40" s="160"/>
      <c r="I40" s="160"/>
      <c r="J40" s="160"/>
      <c r="K40" s="161"/>
      <c r="L40" s="161"/>
      <c r="M40" s="180"/>
      <c r="N40" s="159"/>
      <c r="O40" s="50"/>
      <c r="P40" s="163"/>
      <c r="Q40" s="172"/>
      <c r="R40" s="164">
        <f t="shared" ref="R40" si="56">SUM(M40:Q40)</f>
        <v>0</v>
      </c>
      <c r="S40" s="165">
        <f>(MIN(VALUE($G40),Assu!$E$3))*S$9</f>
        <v>0</v>
      </c>
      <c r="T40" s="165">
        <f>(MIN(VALUE($G40),Assu!$E$3))*T$9</f>
        <v>0</v>
      </c>
      <c r="U40" s="165">
        <f>(MIN(VALUE($G40),Assu!$E$5))*U$9</f>
        <v>0</v>
      </c>
      <c r="V40" s="159"/>
      <c r="W40" s="159"/>
      <c r="X40" s="159"/>
      <c r="Y40" s="159"/>
      <c r="Z40" s="159"/>
      <c r="AA40" s="159"/>
      <c r="AB40" s="159"/>
      <c r="AC40" s="159"/>
      <c r="AD40" s="166"/>
      <c r="AE40" s="164">
        <f t="shared" si="31"/>
        <v>0</v>
      </c>
      <c r="AF40" s="165">
        <f>(MIN(VALUE($G40),Assu!$E$3))*AF$9</f>
        <v>0</v>
      </c>
      <c r="AG40" s="165">
        <f>(MIN(VALUE($G40),Assu!$E$3))*AG$9</f>
        <v>0</v>
      </c>
      <c r="AH40" s="165">
        <f t="shared" si="9"/>
        <v>0</v>
      </c>
      <c r="AI40" s="165"/>
      <c r="AJ40" s="153"/>
      <c r="AK40" s="153"/>
      <c r="AL40" s="153"/>
      <c r="AM40" s="153"/>
      <c r="AN40" s="167"/>
      <c r="AO40" s="167"/>
      <c r="AP40" s="168"/>
      <c r="AQ40" s="168"/>
      <c r="AR40" s="168"/>
    </row>
    <row r="41" spans="1:44" s="176" customFormat="1">
      <c r="A41" s="177"/>
      <c r="B41" s="178"/>
      <c r="C41" s="153"/>
      <c r="D41" s="153"/>
      <c r="E41" s="153"/>
      <c r="F41" s="158"/>
      <c r="G41" s="179"/>
      <c r="H41" s="178"/>
      <c r="I41" s="178"/>
      <c r="J41" s="178"/>
      <c r="K41" s="180"/>
      <c r="L41" s="180"/>
      <c r="M41" s="180"/>
      <c r="N41" s="181"/>
      <c r="O41" s="181"/>
      <c r="P41" s="178"/>
      <c r="Q41" s="178"/>
      <c r="R41" s="180"/>
      <c r="S41" s="165">
        <f>(MIN(VALUE($G41),Assu!$E$3))*S$9</f>
        <v>0</v>
      </c>
      <c r="T41" s="165">
        <f>(MIN(VALUE($G41),Assu!$E$3))*T$9</f>
        <v>0</v>
      </c>
      <c r="U41" s="165">
        <f>(MIN(VALUE($G41),Assu!$E$5))*U$9</f>
        <v>0</v>
      </c>
      <c r="V41" s="178"/>
      <c r="W41" s="182"/>
      <c r="X41" s="179"/>
      <c r="Y41" s="179"/>
      <c r="Z41" s="179"/>
      <c r="AA41" s="178"/>
      <c r="AB41" s="178"/>
      <c r="AC41" s="181"/>
      <c r="AD41" s="181"/>
      <c r="AE41" s="182"/>
      <c r="AF41" s="165">
        <f>(MIN(VALUE($G41),Assu!$E$3))*AF$9</f>
        <v>0</v>
      </c>
      <c r="AG41" s="165">
        <f>(MIN(VALUE($G41),Assu!$E$3))*AG$9</f>
        <v>0</v>
      </c>
      <c r="AH41" s="182"/>
      <c r="AI41" s="182"/>
      <c r="AJ41" s="153"/>
      <c r="AK41" s="158"/>
      <c r="AL41" s="158"/>
      <c r="AM41" s="153"/>
      <c r="AN41" s="153"/>
      <c r="AO41" s="153"/>
      <c r="AP41" s="153"/>
      <c r="AQ41" s="153"/>
      <c r="AR41" s="153"/>
    </row>
    <row r="42" spans="1:44" s="188" customFormat="1">
      <c r="A42" s="183"/>
      <c r="B42" s="180"/>
      <c r="C42" s="184"/>
      <c r="D42" s="184"/>
      <c r="E42" s="184"/>
      <c r="F42" s="185"/>
      <c r="G42" s="186">
        <f>SUM(G10:G40)</f>
        <v>167780000</v>
      </c>
      <c r="H42" s="186"/>
      <c r="I42" s="186"/>
      <c r="J42" s="186"/>
      <c r="K42" s="186">
        <f t="shared" ref="K42:AI42" si="57">SUM(K10:K40)</f>
        <v>154280000</v>
      </c>
      <c r="L42" s="186">
        <f t="shared" si="57"/>
        <v>119800000</v>
      </c>
      <c r="M42" s="186">
        <f t="shared" si="57"/>
        <v>274080000</v>
      </c>
      <c r="N42" s="186">
        <f t="shared" si="57"/>
        <v>278359166.66666669</v>
      </c>
      <c r="O42" s="186">
        <f t="shared" si="57"/>
        <v>20000000</v>
      </c>
      <c r="P42" s="186">
        <f t="shared" si="57"/>
        <v>12791324</v>
      </c>
      <c r="Q42" s="186">
        <f t="shared" si="57"/>
        <v>6401067</v>
      </c>
      <c r="R42" s="186">
        <f t="shared" si="57"/>
        <v>591631557.66666663</v>
      </c>
      <c r="S42" s="186">
        <f t="shared" si="57"/>
        <v>12342400</v>
      </c>
      <c r="T42" s="186">
        <f t="shared" si="57"/>
        <v>2314200</v>
      </c>
      <c r="U42" s="186">
        <f t="shared" si="57"/>
        <v>1542800</v>
      </c>
      <c r="V42" s="186">
        <f t="shared" si="57"/>
        <v>16199400</v>
      </c>
      <c r="W42" s="186">
        <f t="shared" si="57"/>
        <v>7</v>
      </c>
      <c r="X42" s="186">
        <f t="shared" si="57"/>
        <v>30800000</v>
      </c>
      <c r="Y42" s="186">
        <f t="shared" si="57"/>
        <v>220000000</v>
      </c>
      <c r="Z42" s="186">
        <f t="shared" si="57"/>
        <v>250800000</v>
      </c>
      <c r="AA42" s="186">
        <f t="shared" si="57"/>
        <v>325654657.66666669</v>
      </c>
      <c r="AB42" s="186">
        <f t="shared" si="57"/>
        <v>58925460.299999997</v>
      </c>
      <c r="AC42" s="186">
        <f t="shared" si="57"/>
        <v>0</v>
      </c>
      <c r="AD42" s="186">
        <f t="shared" si="57"/>
        <v>66411347</v>
      </c>
      <c r="AE42" s="186">
        <f t="shared" si="57"/>
        <v>604568044.36666679</v>
      </c>
      <c r="AF42" s="186">
        <f t="shared" si="57"/>
        <v>36255800</v>
      </c>
      <c r="AG42" s="186">
        <f t="shared" si="57"/>
        <v>52455200</v>
      </c>
      <c r="AH42" s="186">
        <f t="shared" si="57"/>
        <v>49302629.805555552</v>
      </c>
      <c r="AI42" s="186">
        <f t="shared" si="57"/>
        <v>58925460.299999997</v>
      </c>
      <c r="AJ42" s="153"/>
      <c r="AK42" s="187"/>
      <c r="AL42" s="187"/>
      <c r="AM42" s="153"/>
      <c r="AN42" s="153"/>
      <c r="AO42" s="153"/>
      <c r="AP42" s="153"/>
      <c r="AQ42" s="153"/>
      <c r="AR42" s="153"/>
    </row>
    <row r="43" spans="1:44" s="176" customFormat="1">
      <c r="C43" s="189"/>
      <c r="D43" s="189"/>
      <c r="E43" s="134"/>
      <c r="F43" s="134"/>
      <c r="H43" s="190"/>
      <c r="I43" s="190"/>
      <c r="J43" s="190"/>
      <c r="K43" s="191"/>
      <c r="L43" s="191"/>
      <c r="M43" s="192"/>
      <c r="N43" s="193"/>
      <c r="O43" s="193"/>
      <c r="R43" s="191"/>
      <c r="S43" s="194"/>
      <c r="T43" s="194"/>
      <c r="U43" s="194"/>
      <c r="V43" s="195"/>
      <c r="W43" s="196"/>
      <c r="X43" s="195"/>
      <c r="Y43" s="195"/>
      <c r="Z43" s="195"/>
      <c r="AA43" s="195"/>
      <c r="AB43" s="195"/>
      <c r="AC43" s="197"/>
      <c r="AD43" s="198"/>
      <c r="AE43" s="199"/>
      <c r="AG43" s="194"/>
      <c r="AH43" s="199"/>
      <c r="AI43" s="199"/>
      <c r="AJ43" s="134"/>
      <c r="AK43" s="134"/>
      <c r="AL43" s="134"/>
      <c r="AM43" s="134"/>
      <c r="AN43" s="134"/>
      <c r="AO43" s="134"/>
      <c r="AP43" s="134"/>
      <c r="AQ43" s="134"/>
      <c r="AR43" s="134"/>
    </row>
    <row r="44" spans="1:44">
      <c r="E44" s="6"/>
      <c r="F44" s="212"/>
      <c r="G44" s="212"/>
      <c r="H44" s="212"/>
      <c r="I44" s="169"/>
      <c r="J44" s="169"/>
      <c r="S44" s="200"/>
      <c r="T44" s="200"/>
      <c r="U44" s="200"/>
      <c r="V44" s="200"/>
      <c r="W44" s="200"/>
      <c r="X44" s="200"/>
      <c r="Y44" s="200"/>
      <c r="Z44" s="200"/>
      <c r="AA44" s="203"/>
      <c r="AB44" s="169"/>
      <c r="AC44" s="204"/>
      <c r="AD44" s="131" t="s">
        <v>358</v>
      </c>
      <c r="AE44" s="205">
        <f>AE42+AC42</f>
        <v>604568044.36666679</v>
      </c>
      <c r="AH44" s="302">
        <f>AE42+AG42+AH42</f>
        <v>706325874.17222238</v>
      </c>
      <c r="AI44" s="303">
        <f>AH44/R42</f>
        <v>1.1938610525745081</v>
      </c>
    </row>
    <row r="45" spans="1:44">
      <c r="C45" s="207"/>
      <c r="D45" s="207"/>
      <c r="E45" s="6"/>
      <c r="F45" s="212"/>
      <c r="G45" s="212"/>
      <c r="H45" s="212"/>
      <c r="I45" s="169"/>
      <c r="J45" s="169"/>
      <c r="K45" s="169"/>
      <c r="L45" s="169"/>
      <c r="M45" s="208"/>
      <c r="S45" s="200"/>
      <c r="T45" s="200"/>
      <c r="U45" s="200"/>
      <c r="V45" s="200"/>
      <c r="W45" s="200"/>
      <c r="X45" s="200"/>
      <c r="Y45" s="200"/>
      <c r="Z45" s="200"/>
      <c r="AA45" s="203"/>
      <c r="AB45" s="169"/>
      <c r="AC45" s="209" t="s">
        <v>100</v>
      </c>
      <c r="AD45" s="210" t="s">
        <v>87</v>
      </c>
      <c r="AE45" s="206">
        <f>AE10+AE12</f>
        <v>133965500</v>
      </c>
    </row>
    <row r="46" spans="1:44" ht="14.4">
      <c r="C46" s="207"/>
      <c r="D46" s="207"/>
      <c r="E46" s="7"/>
      <c r="F46" s="212"/>
      <c r="G46" s="212"/>
      <c r="H46" s="212"/>
      <c r="I46" s="169"/>
      <c r="J46" s="169"/>
      <c r="K46" s="169"/>
      <c r="L46" s="169"/>
      <c r="M46" s="208"/>
      <c r="S46" s="200"/>
      <c r="T46" s="200"/>
      <c r="U46" s="200"/>
      <c r="V46" s="200"/>
      <c r="W46" s="200"/>
      <c r="X46" s="200"/>
      <c r="Y46" s="200"/>
      <c r="Z46" s="200"/>
      <c r="AA46" s="203"/>
      <c r="AB46" s="169"/>
      <c r="AC46" s="98"/>
      <c r="AD46" s="210" t="s">
        <v>87</v>
      </c>
      <c r="AE46" s="206"/>
      <c r="AJ46" s="219"/>
    </row>
    <row r="47" spans="1:44">
      <c r="C47" s="207"/>
      <c r="D47" s="207"/>
      <c r="E47" s="211"/>
      <c r="F47" s="212"/>
      <c r="G47" s="212"/>
      <c r="H47" s="212"/>
      <c r="I47" s="169"/>
      <c r="J47" s="212"/>
      <c r="K47" s="212"/>
      <c r="L47" s="212"/>
      <c r="M47" s="213"/>
      <c r="N47" s="213"/>
      <c r="O47" s="213"/>
      <c r="S47" s="200"/>
      <c r="T47" s="200"/>
      <c r="U47" s="200"/>
      <c r="V47" s="200"/>
      <c r="W47" s="200"/>
      <c r="X47" s="200"/>
      <c r="Y47" s="200"/>
      <c r="Z47" s="200"/>
      <c r="AA47" s="203"/>
      <c r="AB47" s="169"/>
      <c r="AC47" s="98"/>
      <c r="AD47" s="210" t="s">
        <v>87</v>
      </c>
      <c r="AE47" s="206"/>
      <c r="AF47" s="241"/>
    </row>
    <row r="48" spans="1:44">
      <c r="C48" s="207"/>
      <c r="D48" s="207"/>
      <c r="E48" s="211"/>
      <c r="F48" s="212"/>
      <c r="G48" s="212"/>
      <c r="H48" s="212"/>
      <c r="I48" s="169"/>
      <c r="J48" s="212"/>
      <c r="K48" s="212"/>
      <c r="L48" s="212"/>
      <c r="M48" s="213"/>
      <c r="N48" s="213"/>
      <c r="O48" s="213"/>
      <c r="S48" s="169"/>
      <c r="T48" s="169"/>
      <c r="U48" s="169"/>
      <c r="V48" s="169"/>
      <c r="W48" s="169"/>
      <c r="X48" s="169"/>
      <c r="Y48" s="169"/>
      <c r="Z48" s="169"/>
      <c r="AA48" s="214"/>
      <c r="AB48" s="169"/>
      <c r="AC48" s="209"/>
      <c r="AD48" s="215" t="s">
        <v>104</v>
      </c>
      <c r="AE48" s="205">
        <f>AE44-SUM(AE45:AE47)</f>
        <v>470602544.36666679</v>
      </c>
    </row>
    <row r="49" spans="1:48">
      <c r="C49" s="207"/>
      <c r="D49" s="207"/>
      <c r="E49" s="211"/>
      <c r="F49" s="212"/>
      <c r="G49" s="212"/>
      <c r="H49" s="212"/>
      <c r="I49" s="169"/>
      <c r="J49" s="212"/>
      <c r="K49" s="212"/>
      <c r="L49" s="212"/>
      <c r="M49" s="213"/>
      <c r="AD49" s="217"/>
    </row>
    <row r="50" spans="1:48">
      <c r="C50" s="207"/>
      <c r="D50" s="207"/>
      <c r="E50" s="211"/>
      <c r="F50" s="212"/>
      <c r="G50" s="212"/>
      <c r="H50" s="212"/>
      <c r="I50" s="169"/>
      <c r="J50" s="212"/>
      <c r="K50" s="212"/>
      <c r="L50" s="212"/>
      <c r="M50" s="213"/>
    </row>
    <row r="51" spans="1:48">
      <c r="C51" s="207"/>
      <c r="D51" s="207"/>
      <c r="E51" s="207"/>
      <c r="F51" s="207"/>
      <c r="G51" s="169"/>
      <c r="H51" s="169"/>
      <c r="I51" s="169"/>
      <c r="J51" s="212"/>
      <c r="K51" s="212"/>
      <c r="L51" s="212"/>
      <c r="M51" s="213"/>
      <c r="AE51" s="301"/>
    </row>
    <row r="52" spans="1:48">
      <c r="C52" s="207"/>
      <c r="D52" s="207"/>
      <c r="E52" s="207"/>
      <c r="F52" s="207"/>
      <c r="G52" s="169"/>
      <c r="H52" s="169"/>
      <c r="I52" s="169"/>
      <c r="J52" s="169"/>
      <c r="K52" s="218"/>
      <c r="L52" s="218"/>
      <c r="M52" s="208"/>
    </row>
    <row r="53" spans="1:48">
      <c r="C53" s="207"/>
      <c r="D53" s="207"/>
      <c r="E53" s="207"/>
      <c r="F53" s="207"/>
      <c r="G53" s="169"/>
      <c r="H53" s="169"/>
      <c r="I53" s="169"/>
      <c r="J53" s="169"/>
      <c r="K53" s="218"/>
      <c r="L53" s="218"/>
      <c r="M53" s="208"/>
    </row>
    <row r="54" spans="1:48">
      <c r="C54" s="207"/>
      <c r="D54" s="207"/>
      <c r="E54" s="207"/>
      <c r="F54" s="207"/>
      <c r="G54" s="169"/>
      <c r="H54" s="169"/>
      <c r="I54" s="169"/>
      <c r="J54" s="169"/>
      <c r="K54" s="218"/>
      <c r="L54" s="218"/>
      <c r="M54" s="208"/>
    </row>
    <row r="55" spans="1:48">
      <c r="C55" s="207"/>
      <c r="D55" s="207"/>
      <c r="E55" s="207"/>
      <c r="F55" s="207"/>
      <c r="G55" s="169"/>
      <c r="H55" s="169"/>
      <c r="I55" s="169"/>
      <c r="J55" s="169"/>
      <c r="K55" s="218"/>
      <c r="L55" s="218"/>
      <c r="M55" s="208"/>
    </row>
    <row r="56" spans="1:48">
      <c r="C56" s="207"/>
      <c r="D56" s="207"/>
      <c r="E56" s="207"/>
      <c r="F56" s="207"/>
      <c r="G56" s="169"/>
      <c r="H56" s="169"/>
      <c r="I56" s="169"/>
      <c r="J56" s="169"/>
      <c r="K56" s="218"/>
      <c r="L56" s="218"/>
      <c r="M56" s="208"/>
    </row>
    <row r="57" spans="1:48">
      <c r="C57" s="207"/>
      <c r="D57" s="207"/>
      <c r="E57" s="207"/>
      <c r="F57" s="207"/>
      <c r="G57" s="169"/>
      <c r="H57" s="169"/>
      <c r="I57" s="169"/>
      <c r="J57" s="169"/>
      <c r="K57" s="218"/>
      <c r="L57" s="218"/>
      <c r="M57" s="208"/>
    </row>
    <row r="58" spans="1:48">
      <c r="C58" s="207"/>
      <c r="D58" s="207"/>
      <c r="E58" s="207"/>
      <c r="F58" s="207"/>
      <c r="G58" s="169"/>
      <c r="H58" s="169"/>
      <c r="I58" s="169"/>
      <c r="J58" s="169"/>
      <c r="K58" s="218"/>
      <c r="L58" s="218"/>
      <c r="M58" s="208"/>
    </row>
    <row r="59" spans="1:48" s="202" customFormat="1">
      <c r="A59" s="132"/>
      <c r="B59" s="176"/>
      <c r="C59" s="207"/>
      <c r="D59" s="207"/>
      <c r="E59" s="207"/>
      <c r="F59" s="207"/>
      <c r="G59" s="169"/>
      <c r="H59" s="169"/>
      <c r="I59" s="169"/>
      <c r="J59" s="169"/>
      <c r="K59" s="218"/>
      <c r="L59" s="218"/>
      <c r="M59" s="208"/>
      <c r="P59" s="132"/>
      <c r="Q59" s="132"/>
      <c r="R59" s="188"/>
      <c r="S59" s="132"/>
      <c r="T59" s="132"/>
      <c r="U59" s="132"/>
      <c r="V59" s="132"/>
      <c r="W59" s="132"/>
      <c r="X59" s="132"/>
      <c r="Y59" s="132"/>
      <c r="Z59" s="132"/>
      <c r="AA59" s="216"/>
      <c r="AB59" s="132"/>
      <c r="AE59" s="132"/>
      <c r="AF59" s="132"/>
      <c r="AG59" s="132"/>
      <c r="AH59" s="132"/>
      <c r="AI59" s="132"/>
      <c r="AJ59" s="134"/>
      <c r="AK59" s="133"/>
      <c r="AL59" s="133"/>
      <c r="AM59" s="134"/>
      <c r="AN59" s="134"/>
      <c r="AO59" s="134"/>
      <c r="AP59" s="134"/>
      <c r="AQ59" s="134"/>
      <c r="AR59" s="134"/>
      <c r="AS59" s="132"/>
      <c r="AT59" s="132"/>
      <c r="AU59" s="132"/>
      <c r="AV59" s="132"/>
    </row>
    <row r="60" spans="1:48" s="202" customFormat="1">
      <c r="A60" s="132"/>
      <c r="B60" s="176"/>
      <c r="C60" s="207"/>
      <c r="D60" s="207"/>
      <c r="E60" s="207"/>
      <c r="F60" s="207"/>
      <c r="G60" s="169"/>
      <c r="H60" s="169"/>
      <c r="I60" s="169"/>
      <c r="J60" s="169"/>
      <c r="K60" s="218"/>
      <c r="L60" s="218"/>
      <c r="M60" s="208"/>
      <c r="P60" s="132"/>
      <c r="Q60" s="132"/>
      <c r="R60" s="188"/>
      <c r="S60" s="132"/>
      <c r="T60" s="132"/>
      <c r="U60" s="132"/>
      <c r="V60" s="132"/>
      <c r="W60" s="132"/>
      <c r="X60" s="132"/>
      <c r="Y60" s="132"/>
      <c r="Z60" s="132"/>
      <c r="AA60" s="216"/>
      <c r="AB60" s="132"/>
      <c r="AE60" s="132"/>
      <c r="AF60" s="132"/>
      <c r="AG60" s="132"/>
      <c r="AH60" s="132"/>
      <c r="AI60" s="132"/>
      <c r="AJ60" s="134"/>
      <c r="AK60" s="133"/>
      <c r="AL60" s="133"/>
      <c r="AM60" s="134"/>
      <c r="AN60" s="134"/>
      <c r="AO60" s="134"/>
      <c r="AP60" s="134"/>
      <c r="AQ60" s="134"/>
      <c r="AR60" s="134"/>
      <c r="AS60" s="132"/>
      <c r="AT60" s="132"/>
      <c r="AU60" s="132"/>
      <c r="AV60" s="132"/>
    </row>
    <row r="61" spans="1:48" s="202" customFormat="1">
      <c r="A61" s="132"/>
      <c r="B61" s="176"/>
      <c r="C61" s="207"/>
      <c r="D61" s="207"/>
      <c r="E61" s="207"/>
      <c r="F61" s="207"/>
      <c r="G61" s="169"/>
      <c r="H61" s="169"/>
      <c r="I61" s="169"/>
      <c r="J61" s="169"/>
      <c r="K61" s="218"/>
      <c r="L61" s="218"/>
      <c r="M61" s="208"/>
      <c r="P61" s="132"/>
      <c r="Q61" s="132"/>
      <c r="R61" s="188"/>
      <c r="S61" s="132"/>
      <c r="T61" s="132"/>
      <c r="U61" s="132"/>
      <c r="V61" s="132"/>
      <c r="W61" s="132"/>
      <c r="X61" s="132"/>
      <c r="Y61" s="132"/>
      <c r="Z61" s="132"/>
      <c r="AA61" s="216"/>
      <c r="AB61" s="132"/>
      <c r="AE61" s="132"/>
      <c r="AF61" s="132"/>
      <c r="AG61" s="132"/>
      <c r="AH61" s="132"/>
      <c r="AI61" s="132"/>
      <c r="AJ61" s="134"/>
      <c r="AK61" s="133"/>
      <c r="AL61" s="133"/>
      <c r="AM61" s="134"/>
      <c r="AN61" s="134"/>
      <c r="AO61" s="134"/>
      <c r="AP61" s="134"/>
      <c r="AQ61" s="134"/>
      <c r="AR61" s="134"/>
      <c r="AS61" s="132"/>
      <c r="AT61" s="132"/>
      <c r="AU61" s="132"/>
      <c r="AV61" s="132"/>
    </row>
    <row r="62" spans="1:48" s="202" customFormat="1">
      <c r="A62" s="132"/>
      <c r="B62" s="176"/>
      <c r="C62" s="207"/>
      <c r="D62" s="207"/>
      <c r="E62" s="207"/>
      <c r="F62" s="207"/>
      <c r="G62" s="169"/>
      <c r="H62" s="169"/>
      <c r="I62" s="169"/>
      <c r="J62" s="169"/>
      <c r="K62" s="218"/>
      <c r="L62" s="218"/>
      <c r="M62" s="208"/>
      <c r="P62" s="132"/>
      <c r="Q62" s="132"/>
      <c r="R62" s="188"/>
      <c r="S62" s="132"/>
      <c r="T62" s="132"/>
      <c r="U62" s="132"/>
      <c r="V62" s="132"/>
      <c r="W62" s="132"/>
      <c r="X62" s="132"/>
      <c r="Y62" s="132"/>
      <c r="Z62" s="132"/>
      <c r="AA62" s="216"/>
      <c r="AB62" s="132"/>
      <c r="AE62" s="132"/>
      <c r="AF62" s="132"/>
      <c r="AG62" s="132"/>
      <c r="AH62" s="132"/>
      <c r="AI62" s="132"/>
      <c r="AJ62" s="134"/>
      <c r="AK62" s="133"/>
      <c r="AL62" s="133"/>
      <c r="AM62" s="134"/>
      <c r="AN62" s="134"/>
      <c r="AO62" s="134"/>
      <c r="AP62" s="134"/>
      <c r="AQ62" s="134"/>
      <c r="AR62" s="134"/>
      <c r="AS62" s="132"/>
      <c r="AT62" s="132"/>
      <c r="AU62" s="132"/>
      <c r="AV62" s="132"/>
    </row>
    <row r="63" spans="1:48" s="202" customFormat="1">
      <c r="A63" s="132"/>
      <c r="B63" s="176"/>
      <c r="C63" s="207"/>
      <c r="D63" s="207"/>
      <c r="E63" s="207"/>
      <c r="F63" s="207"/>
      <c r="G63" s="169"/>
      <c r="H63" s="169"/>
      <c r="I63" s="169"/>
      <c r="J63" s="169"/>
      <c r="K63" s="218"/>
      <c r="L63" s="218"/>
      <c r="M63" s="208"/>
      <c r="P63" s="132"/>
      <c r="Q63" s="132"/>
      <c r="R63" s="188"/>
      <c r="S63" s="132"/>
      <c r="T63" s="132"/>
      <c r="U63" s="132"/>
      <c r="V63" s="132"/>
      <c r="W63" s="132"/>
      <c r="X63" s="132"/>
      <c r="Y63" s="132"/>
      <c r="Z63" s="132"/>
      <c r="AA63" s="216"/>
      <c r="AB63" s="132"/>
      <c r="AE63" s="132"/>
      <c r="AF63" s="132"/>
      <c r="AG63" s="132"/>
      <c r="AH63" s="132"/>
      <c r="AI63" s="132"/>
      <c r="AJ63" s="134"/>
      <c r="AK63" s="133"/>
      <c r="AL63" s="133"/>
      <c r="AM63" s="134"/>
      <c r="AN63" s="134"/>
      <c r="AO63" s="134"/>
      <c r="AP63" s="134"/>
      <c r="AQ63" s="134"/>
      <c r="AR63" s="134"/>
      <c r="AS63" s="132"/>
      <c r="AT63" s="132"/>
      <c r="AU63" s="132"/>
      <c r="AV63" s="132"/>
    </row>
    <row r="64" spans="1:48" s="202" customFormat="1">
      <c r="A64" s="132"/>
      <c r="B64" s="176"/>
      <c r="C64" s="207"/>
      <c r="D64" s="207"/>
      <c r="E64" s="207"/>
      <c r="F64" s="207"/>
      <c r="G64" s="169"/>
      <c r="H64" s="169"/>
      <c r="I64" s="169"/>
      <c r="J64" s="169"/>
      <c r="K64" s="218"/>
      <c r="L64" s="218"/>
      <c r="M64" s="208"/>
      <c r="P64" s="132"/>
      <c r="Q64" s="132"/>
      <c r="R64" s="188"/>
      <c r="S64" s="132"/>
      <c r="T64" s="132"/>
      <c r="U64" s="132"/>
      <c r="V64" s="132"/>
      <c r="W64" s="132"/>
      <c r="X64" s="132"/>
      <c r="Y64" s="132"/>
      <c r="Z64" s="132"/>
      <c r="AA64" s="216"/>
      <c r="AB64" s="132"/>
      <c r="AE64" s="132"/>
      <c r="AF64" s="132"/>
      <c r="AG64" s="132"/>
      <c r="AH64" s="132"/>
      <c r="AI64" s="132"/>
      <c r="AJ64" s="134"/>
      <c r="AK64" s="133"/>
      <c r="AL64" s="133"/>
      <c r="AM64" s="134"/>
      <c r="AN64" s="134"/>
      <c r="AO64" s="134"/>
      <c r="AP64" s="134"/>
      <c r="AQ64" s="134"/>
      <c r="AR64" s="134"/>
      <c r="AS64" s="132"/>
      <c r="AT64" s="132"/>
      <c r="AU64" s="132"/>
      <c r="AV64" s="132"/>
    </row>
    <row r="65" spans="1:48" s="202" customFormat="1">
      <c r="A65" s="132"/>
      <c r="B65" s="176"/>
      <c r="C65" s="207"/>
      <c r="D65" s="207"/>
      <c r="E65" s="207"/>
      <c r="F65" s="207"/>
      <c r="G65" s="169"/>
      <c r="H65" s="169"/>
      <c r="I65" s="169"/>
      <c r="J65" s="169"/>
      <c r="K65" s="218"/>
      <c r="L65" s="218"/>
      <c r="M65" s="208"/>
      <c r="P65" s="132"/>
      <c r="Q65" s="132"/>
      <c r="R65" s="188"/>
      <c r="S65" s="132"/>
      <c r="T65" s="132"/>
      <c r="U65" s="132"/>
      <c r="V65" s="132"/>
      <c r="W65" s="132"/>
      <c r="X65" s="132"/>
      <c r="Y65" s="132"/>
      <c r="Z65" s="132"/>
      <c r="AA65" s="216"/>
      <c r="AB65" s="132"/>
      <c r="AE65" s="132"/>
      <c r="AF65" s="132"/>
      <c r="AG65" s="132"/>
      <c r="AH65" s="132"/>
      <c r="AI65" s="132"/>
      <c r="AJ65" s="134"/>
      <c r="AK65" s="133"/>
      <c r="AL65" s="133"/>
      <c r="AM65" s="134"/>
      <c r="AN65" s="134"/>
      <c r="AO65" s="134"/>
      <c r="AP65" s="134"/>
      <c r="AQ65" s="134"/>
      <c r="AR65" s="134"/>
      <c r="AS65" s="132"/>
      <c r="AT65" s="132"/>
      <c r="AU65" s="132"/>
      <c r="AV65" s="132"/>
    </row>
    <row r="66" spans="1:48" s="202" customFormat="1">
      <c r="A66" s="132"/>
      <c r="B66" s="176"/>
      <c r="C66" s="207"/>
      <c r="D66" s="207"/>
      <c r="E66" s="207"/>
      <c r="F66" s="207"/>
      <c r="G66" s="169"/>
      <c r="H66" s="169"/>
      <c r="I66" s="169"/>
      <c r="J66" s="169"/>
      <c r="K66" s="218"/>
      <c r="L66" s="218"/>
      <c r="M66" s="208"/>
      <c r="P66" s="132"/>
      <c r="Q66" s="132"/>
      <c r="R66" s="188"/>
      <c r="S66" s="132"/>
      <c r="T66" s="132"/>
      <c r="U66" s="132"/>
      <c r="V66" s="132"/>
      <c r="W66" s="132"/>
      <c r="X66" s="132"/>
      <c r="Y66" s="132"/>
      <c r="Z66" s="132"/>
      <c r="AA66" s="216"/>
      <c r="AB66" s="132"/>
      <c r="AE66" s="132"/>
      <c r="AF66" s="132"/>
      <c r="AG66" s="132"/>
      <c r="AH66" s="132"/>
      <c r="AI66" s="132"/>
      <c r="AJ66" s="134"/>
      <c r="AK66" s="133"/>
      <c r="AL66" s="133"/>
      <c r="AM66" s="134"/>
      <c r="AN66" s="134"/>
      <c r="AO66" s="134"/>
      <c r="AP66" s="134"/>
      <c r="AQ66" s="134"/>
      <c r="AR66" s="134"/>
      <c r="AS66" s="132"/>
      <c r="AT66" s="132"/>
      <c r="AU66" s="132"/>
      <c r="AV66" s="132"/>
    </row>
    <row r="67" spans="1:48" s="202" customFormat="1">
      <c r="A67" s="132"/>
      <c r="B67" s="176"/>
      <c r="C67" s="207"/>
      <c r="D67" s="207"/>
      <c r="E67" s="207"/>
      <c r="F67" s="207"/>
      <c r="G67" s="169"/>
      <c r="H67" s="169"/>
      <c r="I67" s="169"/>
      <c r="J67" s="169"/>
      <c r="K67" s="218"/>
      <c r="L67" s="218"/>
      <c r="M67" s="208"/>
      <c r="P67" s="132"/>
      <c r="Q67" s="132"/>
      <c r="R67" s="188"/>
      <c r="S67" s="132"/>
      <c r="T67" s="132"/>
      <c r="U67" s="132"/>
      <c r="V67" s="132"/>
      <c r="W67" s="132"/>
      <c r="X67" s="132"/>
      <c r="Y67" s="132"/>
      <c r="Z67" s="132"/>
      <c r="AA67" s="216"/>
      <c r="AB67" s="132"/>
      <c r="AE67" s="132"/>
      <c r="AF67" s="132"/>
      <c r="AG67" s="132"/>
      <c r="AH67" s="132"/>
      <c r="AI67" s="132"/>
      <c r="AJ67" s="134"/>
      <c r="AK67" s="133"/>
      <c r="AL67" s="133"/>
      <c r="AM67" s="134"/>
      <c r="AN67" s="134"/>
      <c r="AO67" s="134"/>
      <c r="AP67" s="134"/>
      <c r="AQ67" s="134"/>
      <c r="AR67" s="134"/>
      <c r="AS67" s="132"/>
      <c r="AT67" s="132"/>
      <c r="AU67" s="132"/>
      <c r="AV67" s="132"/>
    </row>
    <row r="68" spans="1:48" s="202" customFormat="1">
      <c r="A68" s="132"/>
      <c r="B68" s="176"/>
      <c r="C68" s="207"/>
      <c r="D68" s="207"/>
      <c r="E68" s="207"/>
      <c r="F68" s="207"/>
      <c r="G68" s="169"/>
      <c r="H68" s="169"/>
      <c r="I68" s="169"/>
      <c r="J68" s="169"/>
      <c r="K68" s="218"/>
      <c r="L68" s="218"/>
      <c r="M68" s="208"/>
      <c r="P68" s="132"/>
      <c r="Q68" s="132"/>
      <c r="R68" s="188"/>
      <c r="S68" s="132"/>
      <c r="T68" s="132"/>
      <c r="U68" s="132"/>
      <c r="V68" s="132"/>
      <c r="W68" s="132"/>
      <c r="X68" s="132"/>
      <c r="Y68" s="132"/>
      <c r="Z68" s="132"/>
      <c r="AA68" s="216"/>
      <c r="AB68" s="132"/>
      <c r="AE68" s="132"/>
      <c r="AF68" s="132"/>
      <c r="AG68" s="132"/>
      <c r="AH68" s="132"/>
      <c r="AI68" s="132"/>
      <c r="AJ68" s="134"/>
      <c r="AK68" s="133"/>
      <c r="AL68" s="133"/>
      <c r="AM68" s="134"/>
      <c r="AN68" s="134"/>
      <c r="AO68" s="134"/>
      <c r="AP68" s="134"/>
      <c r="AQ68" s="134"/>
      <c r="AR68" s="134"/>
      <c r="AS68" s="132"/>
      <c r="AT68" s="132"/>
      <c r="AU68" s="132"/>
      <c r="AV68" s="132"/>
    </row>
    <row r="69" spans="1:48" s="202" customFormat="1">
      <c r="A69" s="132"/>
      <c r="B69" s="176"/>
      <c r="C69" s="207"/>
      <c r="D69" s="207"/>
      <c r="E69" s="207"/>
      <c r="F69" s="207"/>
      <c r="G69" s="169"/>
      <c r="H69" s="169"/>
      <c r="I69" s="169"/>
      <c r="J69" s="169"/>
      <c r="K69" s="218"/>
      <c r="L69" s="218"/>
      <c r="M69" s="208"/>
      <c r="P69" s="132"/>
      <c r="Q69" s="132"/>
      <c r="R69" s="188"/>
      <c r="S69" s="132"/>
      <c r="T69" s="132"/>
      <c r="U69" s="132"/>
      <c r="V69" s="132"/>
      <c r="W69" s="132"/>
      <c r="X69" s="132"/>
      <c r="Y69" s="132"/>
      <c r="Z69" s="132"/>
      <c r="AA69" s="216"/>
      <c r="AB69" s="132"/>
      <c r="AE69" s="132"/>
      <c r="AF69" s="132"/>
      <c r="AG69" s="132"/>
      <c r="AH69" s="132"/>
      <c r="AI69" s="132"/>
      <c r="AJ69" s="134"/>
      <c r="AK69" s="133"/>
      <c r="AL69" s="133"/>
      <c r="AM69" s="134"/>
      <c r="AN69" s="134"/>
      <c r="AO69" s="134"/>
      <c r="AP69" s="134"/>
      <c r="AQ69" s="134"/>
      <c r="AR69" s="134"/>
      <c r="AS69" s="132"/>
      <c r="AT69" s="132"/>
      <c r="AU69" s="132"/>
      <c r="AV69" s="132"/>
    </row>
    <row r="70" spans="1:48" s="202" customFormat="1">
      <c r="A70" s="132"/>
      <c r="B70" s="176"/>
      <c r="C70" s="207"/>
      <c r="D70" s="207"/>
      <c r="E70" s="207"/>
      <c r="F70" s="207"/>
      <c r="G70" s="169"/>
      <c r="H70" s="169"/>
      <c r="I70" s="169"/>
      <c r="J70" s="169"/>
      <c r="K70" s="218"/>
      <c r="L70" s="218"/>
      <c r="M70" s="208"/>
      <c r="P70" s="132"/>
      <c r="Q70" s="132"/>
      <c r="R70" s="188"/>
      <c r="S70" s="132"/>
      <c r="T70" s="132"/>
      <c r="U70" s="132"/>
      <c r="V70" s="132"/>
      <c r="W70" s="132"/>
      <c r="X70" s="132"/>
      <c r="Y70" s="132"/>
      <c r="Z70" s="132"/>
      <c r="AA70" s="216"/>
      <c r="AB70" s="132"/>
      <c r="AE70" s="132"/>
      <c r="AF70" s="132"/>
      <c r="AG70" s="132"/>
      <c r="AH70" s="132"/>
      <c r="AI70" s="132"/>
      <c r="AJ70" s="134"/>
      <c r="AK70" s="133"/>
      <c r="AL70" s="133"/>
      <c r="AM70" s="134"/>
      <c r="AN70" s="134"/>
      <c r="AO70" s="134"/>
      <c r="AP70" s="134"/>
      <c r="AQ70" s="134"/>
      <c r="AR70" s="134"/>
      <c r="AS70" s="132"/>
      <c r="AT70" s="132"/>
      <c r="AU70" s="132"/>
      <c r="AV70" s="132"/>
    </row>
    <row r="71" spans="1:48" s="202" customFormat="1">
      <c r="A71" s="132"/>
      <c r="B71" s="176"/>
      <c r="C71" s="207"/>
      <c r="D71" s="207"/>
      <c r="E71" s="207"/>
      <c r="F71" s="207"/>
      <c r="G71" s="169"/>
      <c r="H71" s="169"/>
      <c r="I71" s="169"/>
      <c r="J71" s="169"/>
      <c r="K71" s="218"/>
      <c r="L71" s="218"/>
      <c r="M71" s="208"/>
      <c r="P71" s="132"/>
      <c r="Q71" s="132"/>
      <c r="R71" s="188"/>
      <c r="S71" s="132"/>
      <c r="T71" s="132"/>
      <c r="U71" s="132"/>
      <c r="V71" s="132"/>
      <c r="W71" s="132"/>
      <c r="X71" s="132"/>
      <c r="Y71" s="132"/>
      <c r="Z71" s="132"/>
      <c r="AA71" s="216"/>
      <c r="AB71" s="132"/>
      <c r="AE71" s="132"/>
      <c r="AF71" s="132"/>
      <c r="AG71" s="132"/>
      <c r="AH71" s="132"/>
      <c r="AI71" s="132"/>
      <c r="AJ71" s="134"/>
      <c r="AK71" s="133"/>
      <c r="AL71" s="133"/>
      <c r="AM71" s="134"/>
      <c r="AN71" s="134"/>
      <c r="AO71" s="134"/>
      <c r="AP71" s="134"/>
      <c r="AQ71" s="134"/>
      <c r="AR71" s="134"/>
      <c r="AS71" s="132"/>
      <c r="AT71" s="132"/>
      <c r="AU71" s="132"/>
      <c r="AV71" s="132"/>
    </row>
    <row r="72" spans="1:48" s="202" customFormat="1">
      <c r="A72" s="132"/>
      <c r="B72" s="176"/>
      <c r="C72" s="207"/>
      <c r="D72" s="207"/>
      <c r="E72" s="207"/>
      <c r="F72" s="207"/>
      <c r="G72" s="169"/>
      <c r="H72" s="169"/>
      <c r="I72" s="169"/>
      <c r="J72" s="169"/>
      <c r="K72" s="218"/>
      <c r="L72" s="218"/>
      <c r="M72" s="208"/>
      <c r="P72" s="132"/>
      <c r="Q72" s="132"/>
      <c r="R72" s="188"/>
      <c r="S72" s="132"/>
      <c r="T72" s="132"/>
      <c r="U72" s="132"/>
      <c r="V72" s="132"/>
      <c r="W72" s="132"/>
      <c r="X72" s="132"/>
      <c r="Y72" s="132"/>
      <c r="Z72" s="132"/>
      <c r="AA72" s="216"/>
      <c r="AB72" s="132"/>
      <c r="AE72" s="132"/>
      <c r="AF72" s="132"/>
      <c r="AG72" s="132"/>
      <c r="AH72" s="132"/>
      <c r="AI72" s="132"/>
      <c r="AJ72" s="134"/>
      <c r="AK72" s="133"/>
      <c r="AL72" s="133"/>
      <c r="AM72" s="134"/>
      <c r="AN72" s="134"/>
      <c r="AO72" s="134"/>
      <c r="AP72" s="134"/>
      <c r="AQ72" s="134"/>
      <c r="AR72" s="134"/>
      <c r="AS72" s="132"/>
      <c r="AT72" s="132"/>
      <c r="AU72" s="132"/>
      <c r="AV72" s="132"/>
    </row>
    <row r="73" spans="1:48" s="202" customFormat="1">
      <c r="A73" s="132"/>
      <c r="B73" s="176"/>
      <c r="C73" s="207"/>
      <c r="D73" s="207"/>
      <c r="E73" s="207"/>
      <c r="F73" s="207"/>
      <c r="G73" s="169"/>
      <c r="H73" s="169"/>
      <c r="I73" s="169"/>
      <c r="J73" s="169"/>
      <c r="K73" s="218"/>
      <c r="L73" s="218"/>
      <c r="M73" s="208"/>
      <c r="P73" s="132"/>
      <c r="Q73" s="132"/>
      <c r="R73" s="188"/>
      <c r="S73" s="132"/>
      <c r="T73" s="132"/>
      <c r="U73" s="132"/>
      <c r="V73" s="132"/>
      <c r="W73" s="132"/>
      <c r="X73" s="132"/>
      <c r="Y73" s="132"/>
      <c r="Z73" s="132"/>
      <c r="AA73" s="216"/>
      <c r="AB73" s="132"/>
      <c r="AE73" s="132"/>
      <c r="AF73" s="132"/>
      <c r="AG73" s="132"/>
      <c r="AH73" s="132"/>
      <c r="AI73" s="132"/>
      <c r="AJ73" s="134"/>
      <c r="AK73" s="133"/>
      <c r="AL73" s="133"/>
      <c r="AM73" s="134"/>
      <c r="AN73" s="134"/>
      <c r="AO73" s="134"/>
      <c r="AP73" s="134"/>
      <c r="AQ73" s="134"/>
      <c r="AR73" s="134"/>
      <c r="AS73" s="132"/>
      <c r="AT73" s="132"/>
      <c r="AU73" s="132"/>
      <c r="AV73" s="132"/>
    </row>
    <row r="74" spans="1:48" s="202" customFormat="1">
      <c r="A74" s="132"/>
      <c r="B74" s="176"/>
      <c r="C74" s="207"/>
      <c r="D74" s="207"/>
      <c r="E74" s="207"/>
      <c r="F74" s="207"/>
      <c r="G74" s="169"/>
      <c r="H74" s="169"/>
      <c r="I74" s="169"/>
      <c r="J74" s="169"/>
      <c r="K74" s="218"/>
      <c r="L74" s="218"/>
      <c r="M74" s="208"/>
      <c r="P74" s="132"/>
      <c r="Q74" s="132"/>
      <c r="R74" s="188"/>
      <c r="S74" s="132"/>
      <c r="T74" s="132"/>
      <c r="U74" s="132"/>
      <c r="V74" s="132"/>
      <c r="W74" s="132"/>
      <c r="X74" s="132"/>
      <c r="Y74" s="132"/>
      <c r="Z74" s="132"/>
      <c r="AA74" s="216"/>
      <c r="AB74" s="132"/>
      <c r="AE74" s="132"/>
      <c r="AF74" s="132"/>
      <c r="AG74" s="132"/>
      <c r="AH74" s="132"/>
      <c r="AI74" s="132"/>
      <c r="AJ74" s="134"/>
      <c r="AK74" s="133"/>
      <c r="AL74" s="133"/>
      <c r="AM74" s="134"/>
      <c r="AN74" s="134"/>
      <c r="AO74" s="134"/>
      <c r="AP74" s="134"/>
      <c r="AQ74" s="134"/>
      <c r="AR74" s="134"/>
      <c r="AS74" s="132"/>
      <c r="AT74" s="132"/>
      <c r="AU74" s="132"/>
      <c r="AV74" s="132"/>
    </row>
    <row r="75" spans="1:48" s="202" customFormat="1">
      <c r="A75" s="132"/>
      <c r="B75" s="176"/>
      <c r="C75" s="207"/>
      <c r="D75" s="207"/>
      <c r="E75" s="207"/>
      <c r="F75" s="207"/>
      <c r="G75" s="169"/>
      <c r="H75" s="169"/>
      <c r="I75" s="169"/>
      <c r="J75" s="169"/>
      <c r="K75" s="218"/>
      <c r="L75" s="218"/>
      <c r="M75" s="208"/>
      <c r="P75" s="132"/>
      <c r="Q75" s="132"/>
      <c r="R75" s="188"/>
      <c r="S75" s="132"/>
      <c r="T75" s="132"/>
      <c r="U75" s="132"/>
      <c r="V75" s="132"/>
      <c r="W75" s="132"/>
      <c r="X75" s="132"/>
      <c r="Y75" s="132"/>
      <c r="Z75" s="132"/>
      <c r="AA75" s="216"/>
      <c r="AB75" s="132"/>
      <c r="AE75" s="132"/>
      <c r="AF75" s="132"/>
      <c r="AG75" s="132"/>
      <c r="AH75" s="132"/>
      <c r="AI75" s="132"/>
      <c r="AJ75" s="134"/>
      <c r="AK75" s="133"/>
      <c r="AL75" s="133"/>
      <c r="AM75" s="134"/>
      <c r="AN75" s="134"/>
      <c r="AO75" s="134"/>
      <c r="AP75" s="134"/>
      <c r="AQ75" s="134"/>
      <c r="AR75" s="134"/>
      <c r="AS75" s="132"/>
      <c r="AT75" s="132"/>
      <c r="AU75" s="132"/>
      <c r="AV75" s="132"/>
    </row>
    <row r="76" spans="1:48" s="202" customFormat="1">
      <c r="A76" s="132"/>
      <c r="B76" s="176"/>
      <c r="C76" s="207"/>
      <c r="D76" s="207"/>
      <c r="E76" s="207"/>
      <c r="F76" s="207"/>
      <c r="G76" s="169"/>
      <c r="H76" s="169"/>
      <c r="I76" s="169"/>
      <c r="J76" s="169"/>
      <c r="K76" s="218"/>
      <c r="L76" s="218"/>
      <c r="M76" s="208"/>
      <c r="P76" s="132"/>
      <c r="Q76" s="132"/>
      <c r="R76" s="188"/>
      <c r="S76" s="132"/>
      <c r="T76" s="132"/>
      <c r="U76" s="132"/>
      <c r="V76" s="132"/>
      <c r="W76" s="132"/>
      <c r="X76" s="132"/>
      <c r="Y76" s="132"/>
      <c r="Z76" s="132"/>
      <c r="AA76" s="216"/>
      <c r="AB76" s="132"/>
      <c r="AE76" s="132"/>
      <c r="AF76" s="132"/>
      <c r="AG76" s="132"/>
      <c r="AH76" s="132"/>
      <c r="AI76" s="132"/>
      <c r="AJ76" s="134"/>
      <c r="AK76" s="133"/>
      <c r="AL76" s="133"/>
      <c r="AM76" s="134"/>
      <c r="AN76" s="134"/>
      <c r="AO76" s="134"/>
      <c r="AP76" s="134"/>
      <c r="AQ76" s="134"/>
      <c r="AR76" s="134"/>
      <c r="AS76" s="132"/>
      <c r="AT76" s="132"/>
      <c r="AU76" s="132"/>
      <c r="AV76" s="132"/>
    </row>
    <row r="77" spans="1:48" s="202" customFormat="1">
      <c r="A77" s="132"/>
      <c r="B77" s="176"/>
      <c r="C77" s="207"/>
      <c r="D77" s="207"/>
      <c r="E77" s="207"/>
      <c r="F77" s="207"/>
      <c r="G77" s="169"/>
      <c r="H77" s="169"/>
      <c r="I77" s="169"/>
      <c r="J77" s="169"/>
      <c r="K77" s="218"/>
      <c r="L77" s="218"/>
      <c r="M77" s="208"/>
      <c r="P77" s="132"/>
      <c r="Q77" s="132"/>
      <c r="R77" s="188"/>
      <c r="S77" s="132"/>
      <c r="T77" s="132"/>
      <c r="U77" s="132"/>
      <c r="V77" s="132"/>
      <c r="W77" s="132"/>
      <c r="X77" s="132"/>
      <c r="Y77" s="132"/>
      <c r="Z77" s="132"/>
      <c r="AA77" s="216"/>
      <c r="AB77" s="132"/>
      <c r="AE77" s="132"/>
      <c r="AF77" s="132"/>
      <c r="AG77" s="132"/>
      <c r="AH77" s="132"/>
      <c r="AI77" s="132"/>
      <c r="AJ77" s="134"/>
      <c r="AK77" s="133"/>
      <c r="AL77" s="133"/>
      <c r="AM77" s="134"/>
      <c r="AN77" s="134"/>
      <c r="AO77" s="134"/>
      <c r="AP77" s="134"/>
      <c r="AQ77" s="134"/>
      <c r="AR77" s="134"/>
      <c r="AS77" s="132"/>
      <c r="AT77" s="132"/>
      <c r="AU77" s="132"/>
      <c r="AV77" s="132"/>
    </row>
    <row r="78" spans="1:48" s="202" customFormat="1">
      <c r="A78" s="132"/>
      <c r="B78" s="176"/>
      <c r="C78" s="207"/>
      <c r="D78" s="207"/>
      <c r="E78" s="207"/>
      <c r="F78" s="207"/>
      <c r="G78" s="169"/>
      <c r="H78" s="169"/>
      <c r="I78" s="169"/>
      <c r="J78" s="169"/>
      <c r="K78" s="218"/>
      <c r="L78" s="218"/>
      <c r="M78" s="208"/>
      <c r="P78" s="132"/>
      <c r="Q78" s="132"/>
      <c r="R78" s="188"/>
      <c r="S78" s="132"/>
      <c r="T78" s="132"/>
      <c r="U78" s="132"/>
      <c r="V78" s="132"/>
      <c r="W78" s="132"/>
      <c r="X78" s="132"/>
      <c r="Y78" s="132"/>
      <c r="Z78" s="132"/>
      <c r="AA78" s="216"/>
      <c r="AB78" s="132"/>
      <c r="AE78" s="132"/>
      <c r="AF78" s="132"/>
      <c r="AG78" s="132"/>
      <c r="AH78" s="132"/>
      <c r="AI78" s="132"/>
      <c r="AJ78" s="134"/>
      <c r="AK78" s="133"/>
      <c r="AL78" s="133"/>
      <c r="AM78" s="134"/>
      <c r="AN78" s="134"/>
      <c r="AO78" s="134"/>
      <c r="AP78" s="134"/>
      <c r="AQ78" s="134"/>
      <c r="AR78" s="134"/>
      <c r="AS78" s="132"/>
      <c r="AT78" s="132"/>
      <c r="AU78" s="132"/>
      <c r="AV78" s="132"/>
    </row>
    <row r="79" spans="1:48" s="202" customFormat="1">
      <c r="A79" s="132"/>
      <c r="B79" s="176"/>
      <c r="C79" s="207"/>
      <c r="D79" s="207"/>
      <c r="E79" s="207"/>
      <c r="F79" s="207"/>
      <c r="G79" s="169"/>
      <c r="H79" s="169"/>
      <c r="I79" s="169"/>
      <c r="J79" s="169"/>
      <c r="K79" s="218"/>
      <c r="L79" s="218"/>
      <c r="M79" s="208"/>
      <c r="P79" s="132"/>
      <c r="Q79" s="132"/>
      <c r="R79" s="188"/>
      <c r="S79" s="132"/>
      <c r="T79" s="132"/>
      <c r="U79" s="132"/>
      <c r="V79" s="132"/>
      <c r="W79" s="132"/>
      <c r="X79" s="132"/>
      <c r="Y79" s="132"/>
      <c r="Z79" s="132"/>
      <c r="AA79" s="216"/>
      <c r="AB79" s="132"/>
      <c r="AE79" s="132"/>
      <c r="AF79" s="132"/>
      <c r="AG79" s="132"/>
      <c r="AH79" s="132"/>
      <c r="AI79" s="132"/>
      <c r="AJ79" s="134"/>
      <c r="AK79" s="133"/>
      <c r="AL79" s="133"/>
      <c r="AM79" s="134"/>
      <c r="AN79" s="134"/>
      <c r="AO79" s="134"/>
      <c r="AP79" s="134"/>
      <c r="AQ79" s="134"/>
      <c r="AR79" s="134"/>
      <c r="AS79" s="132"/>
      <c r="AT79" s="132"/>
      <c r="AU79" s="132"/>
      <c r="AV79" s="132"/>
    </row>
    <row r="80" spans="1:48" s="202" customFormat="1">
      <c r="A80" s="132"/>
      <c r="B80" s="176"/>
      <c r="C80" s="207"/>
      <c r="D80" s="207"/>
      <c r="E80" s="207"/>
      <c r="F80" s="207"/>
      <c r="G80" s="169"/>
      <c r="H80" s="169"/>
      <c r="I80" s="169"/>
      <c r="J80" s="169"/>
      <c r="K80" s="218"/>
      <c r="L80" s="218"/>
      <c r="M80" s="208"/>
      <c r="P80" s="132"/>
      <c r="Q80" s="132"/>
      <c r="R80" s="188"/>
      <c r="S80" s="132"/>
      <c r="T80" s="132"/>
      <c r="U80" s="132"/>
      <c r="V80" s="132"/>
      <c r="W80" s="132"/>
      <c r="X80" s="132"/>
      <c r="Y80" s="132"/>
      <c r="Z80" s="132"/>
      <c r="AA80" s="216"/>
      <c r="AB80" s="132"/>
      <c r="AE80" s="132"/>
      <c r="AF80" s="132"/>
      <c r="AG80" s="132"/>
      <c r="AH80" s="132"/>
      <c r="AI80" s="132"/>
      <c r="AJ80" s="134"/>
      <c r="AK80" s="133"/>
      <c r="AL80" s="133"/>
      <c r="AM80" s="134"/>
      <c r="AN80" s="134"/>
      <c r="AO80" s="134"/>
      <c r="AP80" s="134"/>
      <c r="AQ80" s="134"/>
      <c r="AR80" s="134"/>
      <c r="AS80" s="132"/>
      <c r="AT80" s="132"/>
      <c r="AU80" s="132"/>
      <c r="AV80" s="132"/>
    </row>
    <row r="81" spans="1:48" s="202" customFormat="1">
      <c r="A81" s="132"/>
      <c r="B81" s="176"/>
      <c r="C81" s="207"/>
      <c r="D81" s="207"/>
      <c r="E81" s="207"/>
      <c r="F81" s="207"/>
      <c r="G81" s="169"/>
      <c r="H81" s="169"/>
      <c r="I81" s="169"/>
      <c r="J81" s="169"/>
      <c r="K81" s="218"/>
      <c r="L81" s="218"/>
      <c r="M81" s="208"/>
      <c r="P81" s="132"/>
      <c r="Q81" s="132"/>
      <c r="R81" s="188"/>
      <c r="S81" s="132"/>
      <c r="T81" s="132"/>
      <c r="U81" s="132"/>
      <c r="V81" s="132"/>
      <c r="W81" s="132"/>
      <c r="X81" s="132"/>
      <c r="Y81" s="132"/>
      <c r="Z81" s="132"/>
      <c r="AA81" s="216"/>
      <c r="AB81" s="132"/>
      <c r="AE81" s="132"/>
      <c r="AF81" s="132"/>
      <c r="AG81" s="132"/>
      <c r="AH81" s="132"/>
      <c r="AI81" s="132"/>
      <c r="AJ81" s="134"/>
      <c r="AK81" s="133"/>
      <c r="AL81" s="133"/>
      <c r="AM81" s="134"/>
      <c r="AN81" s="134"/>
      <c r="AO81" s="134"/>
      <c r="AP81" s="134"/>
      <c r="AQ81" s="134"/>
      <c r="AR81" s="134"/>
      <c r="AS81" s="132"/>
      <c r="AT81" s="132"/>
      <c r="AU81" s="132"/>
      <c r="AV81" s="132"/>
    </row>
    <row r="82" spans="1:48" s="202" customFormat="1">
      <c r="A82" s="132"/>
      <c r="B82" s="176"/>
      <c r="C82" s="207"/>
      <c r="D82" s="207"/>
      <c r="E82" s="207"/>
      <c r="F82" s="207"/>
      <c r="G82" s="169"/>
      <c r="H82" s="169"/>
      <c r="I82" s="169"/>
      <c r="J82" s="169"/>
      <c r="K82" s="218"/>
      <c r="L82" s="218"/>
      <c r="M82" s="208"/>
      <c r="P82" s="132"/>
      <c r="Q82" s="132"/>
      <c r="R82" s="188"/>
      <c r="S82" s="132"/>
      <c r="T82" s="132"/>
      <c r="U82" s="132"/>
      <c r="V82" s="132"/>
      <c r="W82" s="132"/>
      <c r="X82" s="132"/>
      <c r="Y82" s="132"/>
      <c r="Z82" s="132"/>
      <c r="AA82" s="216"/>
      <c r="AB82" s="132"/>
      <c r="AE82" s="132"/>
      <c r="AF82" s="132"/>
      <c r="AG82" s="132"/>
      <c r="AH82" s="132"/>
      <c r="AI82" s="132"/>
      <c r="AJ82" s="134"/>
      <c r="AK82" s="133"/>
      <c r="AL82" s="133"/>
      <c r="AM82" s="134"/>
      <c r="AN82" s="134"/>
      <c r="AO82" s="134"/>
      <c r="AP82" s="134"/>
      <c r="AQ82" s="134"/>
      <c r="AR82" s="134"/>
      <c r="AS82" s="132"/>
      <c r="AT82" s="132"/>
      <c r="AU82" s="132"/>
      <c r="AV82" s="132"/>
    </row>
    <row r="83" spans="1:48" s="202" customFormat="1">
      <c r="A83" s="132"/>
      <c r="B83" s="176"/>
      <c r="C83" s="207"/>
      <c r="D83" s="207"/>
      <c r="E83" s="207"/>
      <c r="F83" s="207"/>
      <c r="G83" s="169"/>
      <c r="H83" s="169"/>
      <c r="I83" s="169"/>
      <c r="J83" s="169"/>
      <c r="K83" s="218"/>
      <c r="L83" s="218"/>
      <c r="M83" s="208"/>
      <c r="P83" s="132"/>
      <c r="Q83" s="132"/>
      <c r="R83" s="188"/>
      <c r="S83" s="132"/>
      <c r="T83" s="132"/>
      <c r="U83" s="132"/>
      <c r="V83" s="132"/>
      <c r="W83" s="132"/>
      <c r="X83" s="132"/>
      <c r="Y83" s="132"/>
      <c r="Z83" s="132"/>
      <c r="AA83" s="216"/>
      <c r="AB83" s="132"/>
      <c r="AE83" s="132"/>
      <c r="AF83" s="132"/>
      <c r="AG83" s="132"/>
      <c r="AH83" s="132"/>
      <c r="AI83" s="132"/>
      <c r="AJ83" s="134"/>
      <c r="AK83" s="133"/>
      <c r="AL83" s="133"/>
      <c r="AM83" s="134"/>
      <c r="AN83" s="134"/>
      <c r="AO83" s="134"/>
      <c r="AP83" s="134"/>
      <c r="AQ83" s="134"/>
      <c r="AR83" s="134"/>
      <c r="AS83" s="132"/>
      <c r="AT83" s="132"/>
      <c r="AU83" s="132"/>
      <c r="AV83" s="132"/>
    </row>
  </sheetData>
  <mergeCells count="6">
    <mergeCell ref="AC7:AD7"/>
    <mergeCell ref="H7:J7"/>
    <mergeCell ref="K7:M7"/>
    <mergeCell ref="N7:Q7"/>
    <mergeCell ref="S7:U7"/>
    <mergeCell ref="W7:Y7"/>
  </mergeCells>
  <pageMargins left="0.2" right="0" top="0.25" bottom="0.25" header="0.3" footer="0.3"/>
  <pageSetup paperSize="9" scale="95" orientation="landscape" verticalDpi="300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1:AT77"/>
  <sheetViews>
    <sheetView showGridLines="0" zoomScaleNormal="100" workbookViewId="0">
      <pane xSplit="7" ySplit="8" topLeftCell="U9" activePane="bottomRight" state="frozen"/>
      <selection pane="topRight" activeCell="G1" sqref="G1"/>
      <selection pane="bottomLeft" activeCell="A9" sqref="A9"/>
      <selection pane="bottomRight" activeCell="D29" sqref="D29"/>
    </sheetView>
  </sheetViews>
  <sheetFormatPr defaultColWidth="9.33203125" defaultRowHeight="13.8"/>
  <cols>
    <col min="1" max="1" width="3.6640625" style="132" customWidth="1"/>
    <col min="2" max="2" width="22" style="176" customWidth="1"/>
    <col min="3" max="3" width="5.5546875" style="133" customWidth="1"/>
    <col min="4" max="4" width="6.6640625" style="133" customWidth="1"/>
    <col min="5" max="5" width="8.33203125" style="133" customWidth="1"/>
    <col min="6" max="6" width="10.33203125" style="133" customWidth="1"/>
    <col min="7" max="7" width="12.33203125" style="132" customWidth="1"/>
    <col min="8" max="8" width="5.6640625" style="132" bestFit="1" customWidth="1"/>
    <col min="9" max="9" width="2.6640625" style="132" customWidth="1"/>
    <col min="10" max="10" width="5.5546875" style="132" customWidth="1"/>
    <col min="11" max="11" width="12.33203125" style="188" customWidth="1"/>
    <col min="12" max="12" width="12" style="188" bestFit="1" customWidth="1"/>
    <col min="13" max="13" width="12" style="201" bestFit="1" customWidth="1"/>
    <col min="14" max="14" width="11" style="202" bestFit="1" customWidth="1"/>
    <col min="15" max="15" width="11.6640625" style="132" customWidth="1"/>
    <col min="16" max="16" width="10.33203125" style="132" customWidth="1"/>
    <col min="17" max="17" width="12" style="188" customWidth="1"/>
    <col min="18" max="18" width="11" style="132" customWidth="1"/>
    <col min="19" max="19" width="10" style="132" bestFit="1" customWidth="1"/>
    <col min="20" max="20" width="10" style="132" customWidth="1"/>
    <col min="21" max="21" width="11" style="132" customWidth="1"/>
    <col min="22" max="22" width="4.109375" style="132" customWidth="1"/>
    <col min="23" max="23" width="11" style="132" customWidth="1"/>
    <col min="24" max="25" width="12" style="132" customWidth="1"/>
    <col min="26" max="26" width="12.33203125" style="216" customWidth="1"/>
    <col min="27" max="27" width="12.33203125" style="132" customWidth="1"/>
    <col min="28" max="28" width="9.6640625" style="202" customWidth="1"/>
    <col min="29" max="29" width="9.5546875" style="202" customWidth="1"/>
    <col min="30" max="30" width="12" style="132" bestFit="1" customWidth="1"/>
    <col min="31" max="31" width="11" style="132" customWidth="1"/>
    <col min="32" max="32" width="11.6640625" style="132" bestFit="1" customWidth="1"/>
    <col min="33" max="33" width="12.44140625" style="132" bestFit="1" customWidth="1"/>
    <col min="34" max="34" width="12.33203125" style="132" customWidth="1"/>
    <col min="35" max="35" width="18" style="134" customWidth="1"/>
    <col min="36" max="36" width="7.109375" style="133" bestFit="1" customWidth="1"/>
    <col min="37" max="39" width="7.109375" style="134" bestFit="1" customWidth="1"/>
    <col min="40" max="40" width="13.88671875" style="134" customWidth="1"/>
    <col min="41" max="41" width="28" style="134" customWidth="1"/>
    <col min="42" max="42" width="5" style="134" bestFit="1" customWidth="1"/>
    <col min="43" max="16384" width="9.33203125" style="132"/>
  </cols>
  <sheetData>
    <row r="1" spans="1:46" s="2" customFormat="1" ht="18" customHeight="1">
      <c r="B1" s="220" t="s">
        <v>180</v>
      </c>
      <c r="C1" s="118"/>
      <c r="D1" s="118" t="s">
        <v>139</v>
      </c>
      <c r="E1" s="1"/>
      <c r="F1" s="1"/>
      <c r="K1" s="5" t="s">
        <v>202</v>
      </c>
      <c r="L1" s="12"/>
      <c r="M1" s="125"/>
      <c r="N1" s="39"/>
      <c r="O1" s="39"/>
      <c r="P1" s="5" t="s">
        <v>187</v>
      </c>
      <c r="Q1" s="12"/>
      <c r="U1" s="1" t="s">
        <v>204</v>
      </c>
      <c r="AB1" s="49"/>
      <c r="AC1" s="49"/>
      <c r="AI1" s="55"/>
      <c r="AJ1" s="1"/>
      <c r="AK1" s="55"/>
      <c r="AL1" s="55"/>
      <c r="AM1" s="55"/>
      <c r="AN1" s="55"/>
      <c r="AO1" s="55"/>
      <c r="AP1" s="55"/>
    </row>
    <row r="2" spans="1:46" s="2" customFormat="1" ht="14.1" customHeight="1">
      <c r="B2" s="119" t="s">
        <v>179</v>
      </c>
      <c r="C2" s="5"/>
      <c r="D2" s="5" t="s">
        <v>181</v>
      </c>
      <c r="E2" s="1"/>
      <c r="F2" s="44"/>
      <c r="G2" s="40"/>
      <c r="H2" s="40"/>
      <c r="I2" s="1"/>
      <c r="J2" s="40"/>
      <c r="K2" s="5" t="s">
        <v>185</v>
      </c>
      <c r="L2" s="1"/>
      <c r="M2" s="126"/>
      <c r="N2" s="1"/>
      <c r="O2" s="1"/>
      <c r="P2" s="5" t="s">
        <v>188</v>
      </c>
      <c r="Q2" s="13"/>
      <c r="U2" s="1" t="s">
        <v>190</v>
      </c>
      <c r="AB2" s="49"/>
      <c r="AC2" s="49"/>
      <c r="AI2" s="55"/>
      <c r="AJ2" s="1"/>
      <c r="AK2" s="55"/>
      <c r="AL2" s="55"/>
      <c r="AM2" s="55"/>
      <c r="AN2" s="55"/>
      <c r="AO2" s="55"/>
      <c r="AP2" s="55"/>
    </row>
    <row r="3" spans="1:46" s="2" customFormat="1" ht="14.1" customHeight="1" thickBot="1">
      <c r="A3" s="53"/>
      <c r="B3" s="53"/>
      <c r="C3" s="4"/>
      <c r="D3" s="4" t="s">
        <v>182</v>
      </c>
      <c r="E3" s="4"/>
      <c r="F3" s="45"/>
      <c r="G3" s="41"/>
      <c r="H3" s="41"/>
      <c r="I3" s="4"/>
      <c r="J3" s="41"/>
      <c r="K3" s="4" t="s">
        <v>203</v>
      </c>
      <c r="L3" s="4"/>
      <c r="M3" s="127"/>
      <c r="N3" s="4"/>
      <c r="O3" s="4"/>
      <c r="P3" s="4" t="s">
        <v>189</v>
      </c>
      <c r="Q3" s="15"/>
      <c r="R3" s="16"/>
      <c r="S3" s="16"/>
      <c r="T3" s="16"/>
      <c r="U3" s="4" t="s">
        <v>191</v>
      </c>
      <c r="V3" s="16"/>
      <c r="W3" s="16"/>
      <c r="X3" s="16"/>
      <c r="Y3" s="16"/>
      <c r="Z3" s="16"/>
      <c r="AA3" s="16"/>
      <c r="AB3" s="41"/>
      <c r="AC3" s="41"/>
      <c r="AD3" s="16"/>
      <c r="AE3" s="16"/>
      <c r="AF3" s="16"/>
      <c r="AG3" s="16"/>
      <c r="AH3" s="16"/>
      <c r="AI3" s="56"/>
      <c r="AJ3" s="4"/>
      <c r="AK3" s="56"/>
      <c r="AL3" s="56"/>
      <c r="AM3" s="56"/>
      <c r="AN3" s="56"/>
      <c r="AO3" s="56"/>
      <c r="AP3" s="56"/>
    </row>
    <row r="4" spans="1:46" s="17" customFormat="1" ht="12" customHeight="1">
      <c r="B4" s="54"/>
      <c r="C4" s="5"/>
      <c r="D4" s="5"/>
      <c r="E4" s="5"/>
      <c r="F4" s="3"/>
      <c r="G4" s="42"/>
      <c r="H4" s="42"/>
      <c r="I4" s="42"/>
      <c r="J4" s="42"/>
      <c r="K4" s="14"/>
      <c r="L4" s="14"/>
      <c r="M4" s="128"/>
      <c r="N4" s="42"/>
      <c r="O4" s="42"/>
      <c r="P4" s="42"/>
      <c r="Q4" s="14"/>
      <c r="AB4" s="42"/>
      <c r="AC4" s="42"/>
      <c r="AI4" s="57"/>
      <c r="AJ4" s="5"/>
      <c r="AK4" s="57"/>
      <c r="AL4" s="57"/>
      <c r="AM4" s="57"/>
      <c r="AN4" s="57"/>
      <c r="AO4" s="57"/>
      <c r="AP4" s="57"/>
    </row>
    <row r="5" spans="1:46" s="18" customFormat="1" ht="21" customHeight="1">
      <c r="B5" s="100" t="s">
        <v>320</v>
      </c>
      <c r="C5" s="46"/>
      <c r="D5" s="46"/>
      <c r="E5" s="46"/>
      <c r="F5" s="46"/>
      <c r="G5" s="43"/>
      <c r="H5" s="43"/>
      <c r="I5" s="43"/>
      <c r="J5" s="43"/>
      <c r="K5" s="19"/>
      <c r="L5" s="19"/>
      <c r="M5" s="129"/>
      <c r="N5" s="43"/>
      <c r="O5" s="43"/>
      <c r="P5" s="43"/>
      <c r="Q5" s="19"/>
      <c r="R5" s="19"/>
      <c r="S5" s="19"/>
      <c r="T5" s="20"/>
      <c r="U5" s="19"/>
      <c r="V5" s="19"/>
      <c r="W5" s="19"/>
      <c r="X5" s="19"/>
      <c r="Y5" s="19"/>
      <c r="Z5" s="19"/>
      <c r="AA5" s="19"/>
      <c r="AB5" s="19"/>
      <c r="AC5" s="19"/>
      <c r="AD5" s="240"/>
      <c r="AE5" s="19"/>
      <c r="AF5" s="19"/>
      <c r="AG5" s="19"/>
      <c r="AH5" s="19"/>
      <c r="AI5" s="58"/>
      <c r="AJ5" s="6"/>
      <c r="AK5" s="11"/>
      <c r="AL5" s="11"/>
      <c r="AM5" s="11"/>
      <c r="AN5" s="11"/>
      <c r="AO5" s="11"/>
      <c r="AP5" s="11"/>
    </row>
    <row r="7" spans="1:46" s="135" customFormat="1" ht="12" customHeight="1">
      <c r="A7" s="307" t="s">
        <v>16</v>
      </c>
      <c r="B7" s="307" t="s">
        <v>67</v>
      </c>
      <c r="C7" s="307" t="s">
        <v>145</v>
      </c>
      <c r="D7" s="307" t="s">
        <v>101</v>
      </c>
      <c r="E7" s="307" t="s">
        <v>147</v>
      </c>
      <c r="F7" s="307" t="s">
        <v>72</v>
      </c>
      <c r="G7" s="232" t="s">
        <v>23</v>
      </c>
      <c r="H7" s="367" t="s">
        <v>103</v>
      </c>
      <c r="I7" s="367"/>
      <c r="J7" s="367"/>
      <c r="K7" s="368" t="s">
        <v>74</v>
      </c>
      <c r="L7" s="369"/>
      <c r="M7" s="370"/>
      <c r="N7" s="371" t="s">
        <v>75</v>
      </c>
      <c r="O7" s="372"/>
      <c r="P7" s="373"/>
      <c r="Q7" s="232" t="s">
        <v>77</v>
      </c>
      <c r="R7" s="374" t="s">
        <v>177</v>
      </c>
      <c r="S7" s="375"/>
      <c r="T7" s="375"/>
      <c r="U7" s="232" t="s">
        <v>78</v>
      </c>
      <c r="V7" s="374" t="s">
        <v>176</v>
      </c>
      <c r="W7" s="375"/>
      <c r="X7" s="375"/>
      <c r="Y7" s="232" t="s">
        <v>80</v>
      </c>
      <c r="Z7" s="307" t="s">
        <v>82</v>
      </c>
      <c r="AA7" s="232" t="s">
        <v>83</v>
      </c>
      <c r="AB7" s="366" t="s">
        <v>33</v>
      </c>
      <c r="AC7" s="366"/>
      <c r="AD7" s="233" t="s">
        <v>156</v>
      </c>
      <c r="AE7" s="306" t="s">
        <v>157</v>
      </c>
      <c r="AF7" s="306" t="s">
        <v>158</v>
      </c>
      <c r="AG7" s="306" t="s">
        <v>159</v>
      </c>
      <c r="AH7" s="306" t="s">
        <v>83</v>
      </c>
      <c r="AI7" s="307"/>
      <c r="AJ7" s="307"/>
      <c r="AK7" s="307"/>
      <c r="AL7" s="307"/>
      <c r="AM7" s="307"/>
      <c r="AN7" s="307"/>
      <c r="AO7" s="307"/>
      <c r="AP7" s="307"/>
    </row>
    <row r="8" spans="1:46" s="130" customFormat="1" ht="24">
      <c r="A8" s="221" t="s">
        <v>73</v>
      </c>
      <c r="B8" s="221" t="s">
        <v>68</v>
      </c>
      <c r="C8" s="221" t="s">
        <v>146</v>
      </c>
      <c r="D8" s="221" t="s">
        <v>66</v>
      </c>
      <c r="E8" s="221" t="s">
        <v>85</v>
      </c>
      <c r="F8" s="221" t="s">
        <v>18</v>
      </c>
      <c r="G8" s="222" t="s">
        <v>24</v>
      </c>
      <c r="H8" s="223" t="s">
        <v>21</v>
      </c>
      <c r="I8" s="223" t="s">
        <v>22</v>
      </c>
      <c r="J8" s="223" t="s">
        <v>0</v>
      </c>
      <c r="K8" s="222" t="s">
        <v>149</v>
      </c>
      <c r="L8" s="222" t="s">
        <v>151</v>
      </c>
      <c r="M8" s="221" t="s">
        <v>152</v>
      </c>
      <c r="N8" s="221" t="s">
        <v>154</v>
      </c>
      <c r="O8" s="221" t="s">
        <v>153</v>
      </c>
      <c r="P8" s="221" t="s">
        <v>76</v>
      </c>
      <c r="Q8" s="222" t="s">
        <v>24</v>
      </c>
      <c r="R8" s="224" t="s">
        <v>25</v>
      </c>
      <c r="S8" s="224" t="s">
        <v>26</v>
      </c>
      <c r="T8" s="224" t="s">
        <v>27</v>
      </c>
      <c r="U8" s="225" t="s">
        <v>79</v>
      </c>
      <c r="V8" s="221" t="s">
        <v>88</v>
      </c>
      <c r="W8" s="222" t="s">
        <v>4</v>
      </c>
      <c r="X8" s="222" t="s">
        <v>3</v>
      </c>
      <c r="Y8" s="225" t="s">
        <v>81</v>
      </c>
      <c r="Z8" s="226" t="s">
        <v>84</v>
      </c>
      <c r="AA8" s="226" t="s">
        <v>1</v>
      </c>
      <c r="AB8" s="221" t="s">
        <v>34</v>
      </c>
      <c r="AC8" s="221" t="s">
        <v>35</v>
      </c>
      <c r="AD8" s="221" t="s">
        <v>155</v>
      </c>
      <c r="AE8" s="221" t="s">
        <v>40</v>
      </c>
      <c r="AF8" s="221" t="s">
        <v>28</v>
      </c>
      <c r="AG8" s="221" t="s">
        <v>48</v>
      </c>
      <c r="AH8" s="221" t="s">
        <v>1</v>
      </c>
      <c r="AI8" s="225" t="s">
        <v>86</v>
      </c>
      <c r="AJ8" s="225" t="s">
        <v>96</v>
      </c>
      <c r="AK8" s="225" t="s">
        <v>97</v>
      </c>
      <c r="AL8" s="225" t="s">
        <v>109</v>
      </c>
      <c r="AM8" s="225" t="s">
        <v>183</v>
      </c>
      <c r="AN8" s="225" t="s">
        <v>110</v>
      </c>
      <c r="AO8" s="225" t="s">
        <v>111</v>
      </c>
      <c r="AP8" s="226" t="s">
        <v>184</v>
      </c>
    </row>
    <row r="9" spans="1:46" s="155" customFormat="1" ht="12" customHeight="1">
      <c r="A9" s="136"/>
      <c r="B9" s="136"/>
      <c r="C9" s="136"/>
      <c r="D9" s="136"/>
      <c r="E9" s="136"/>
      <c r="F9" s="136"/>
      <c r="G9" s="137"/>
      <c r="H9" s="138"/>
      <c r="I9" s="138"/>
      <c r="J9" s="138"/>
      <c r="K9" s="139"/>
      <c r="L9" s="139"/>
      <c r="M9" s="140"/>
      <c r="N9" s="141"/>
      <c r="O9" s="136"/>
      <c r="P9" s="136"/>
      <c r="Q9" s="142" t="s">
        <v>29</v>
      </c>
      <c r="R9" s="143">
        <f>Assu!$C$3</f>
        <v>0.08</v>
      </c>
      <c r="S9" s="143">
        <f>Assu!$C$4</f>
        <v>1.4999999999999999E-2</v>
      </c>
      <c r="T9" s="143">
        <f>Assu!$C$5</f>
        <v>0.01</v>
      </c>
      <c r="U9" s="142" t="s">
        <v>30</v>
      </c>
      <c r="V9" s="144"/>
      <c r="W9" s="145">
        <v>4400000</v>
      </c>
      <c r="X9" s="145">
        <v>11000000</v>
      </c>
      <c r="Y9" s="146" t="s">
        <v>31</v>
      </c>
      <c r="Z9" s="147" t="s">
        <v>32</v>
      </c>
      <c r="AA9" s="147" t="s">
        <v>36</v>
      </c>
      <c r="AB9" s="148" t="s">
        <v>37</v>
      </c>
      <c r="AC9" s="148" t="s">
        <v>38</v>
      </c>
      <c r="AD9" s="149" t="s">
        <v>39</v>
      </c>
      <c r="AE9" s="150">
        <f>SUM(Assu!$B$3:$B$6)</f>
        <v>0.23499999999999999</v>
      </c>
      <c r="AF9" s="151">
        <f>SUM(R9:T9)+AE9</f>
        <v>0.33999999999999997</v>
      </c>
      <c r="AG9" s="151">
        <v>1</v>
      </c>
      <c r="AH9" s="151"/>
      <c r="AI9" s="152"/>
      <c r="AJ9" s="136"/>
      <c r="AK9" s="152"/>
      <c r="AL9" s="152"/>
      <c r="AM9" s="152"/>
      <c r="AN9" s="153"/>
      <c r="AO9" s="153"/>
      <c r="AP9" s="153"/>
      <c r="AQ9" s="154"/>
      <c r="AT9" s="154"/>
    </row>
    <row r="10" spans="1:46">
      <c r="A10" s="156">
        <v>1</v>
      </c>
      <c r="B10" s="157" t="s">
        <v>19</v>
      </c>
      <c r="C10" s="152" t="s">
        <v>148</v>
      </c>
      <c r="D10" s="152" t="s">
        <v>162</v>
      </c>
      <c r="E10" s="152">
        <v>40848</v>
      </c>
      <c r="F10" s="158" t="s">
        <v>64</v>
      </c>
      <c r="G10" s="238">
        <v>0</v>
      </c>
      <c r="H10" s="287">
        <v>23</v>
      </c>
      <c r="I10" s="287">
        <v>0</v>
      </c>
      <c r="J10" s="287">
        <f>H10+I10</f>
        <v>23</v>
      </c>
      <c r="K10" s="242">
        <f t="shared" ref="K10:K31" si="0">G10/H10*J10</f>
        <v>0</v>
      </c>
      <c r="L10" s="242">
        <v>50000000</v>
      </c>
      <c r="M10" s="162">
        <f>SUM(K10:L10)</f>
        <v>50000000</v>
      </c>
      <c r="N10" s="172"/>
      <c r="O10" s="50"/>
      <c r="P10" s="159"/>
      <c r="Q10" s="164">
        <f>SUM(M10:P10)</f>
        <v>50000000</v>
      </c>
      <c r="R10" s="165">
        <f>(MIN(VALUE($G10),Assu!$E$3))*R$9</f>
        <v>0</v>
      </c>
      <c r="S10" s="165">
        <f>(MIN(VALUE($G10),Assu!$E$3))*S$9</f>
        <v>0</v>
      </c>
      <c r="T10" s="165">
        <f>(MIN(VALUE($G10),Assu!$E$5))*T$9</f>
        <v>0</v>
      </c>
      <c r="U10" s="159">
        <f>SUM(R10:T10)</f>
        <v>0</v>
      </c>
      <c r="V10" s="159">
        <v>0</v>
      </c>
      <c r="W10" s="159">
        <f>V10*$W$9</f>
        <v>0</v>
      </c>
      <c r="X10" s="159">
        <f>IF(VALUE(Q10)=0,0,$X$9)</f>
        <v>11000000</v>
      </c>
      <c r="Y10" s="159">
        <f>SUM(W10:X10)</f>
        <v>11000000</v>
      </c>
      <c r="Z10" s="159">
        <f>IF((Q10-U10-Y10)&lt;0,0,(Q10-U10-Y10))</f>
        <v>39000000</v>
      </c>
      <c r="AA10" s="164">
        <f>IF(AND(Z10&lt;10000000,Z10&gt;5000000),Z10*10%-250000,IF(AND(Z10&lt;18000000,Z10&gt;10000000),Z10*15%-750000,IF(AND(Z10&lt;32000000,Z10&gt;18000000),Z10*20%-1650000,IF(AND(Z10&lt;52000000,Z10&gt;32000000),Z10*25%-3250000,IF(AND(Z10&lt;80000000,Z10&gt;52000000),Z10*30%-5850000,IF(Z10&gt;80000000,Z10*35%-9850000,Z10*5%))))))</f>
        <v>6500000</v>
      </c>
      <c r="AB10" s="159"/>
      <c r="AC10" s="166"/>
      <c r="AD10" s="170">
        <f>Q10-U10-AB10-AC10</f>
        <v>50000000</v>
      </c>
      <c r="AE10" s="165">
        <f>(MIN(VALUE($G10),Assu!$E$3))*AE$9</f>
        <v>0</v>
      </c>
      <c r="AF10" s="165">
        <f>(MIN(VALUE($G10),Assu!$E$3))*AF$9</f>
        <v>0</v>
      </c>
      <c r="AG10" s="165">
        <f>Q10*$AG$9/12</f>
        <v>4166666.6666666665</v>
      </c>
      <c r="AH10" s="165">
        <f>AA10</f>
        <v>6500000</v>
      </c>
      <c r="AI10" s="48" t="s">
        <v>322</v>
      </c>
      <c r="AJ10" s="48"/>
      <c r="AK10" s="153"/>
      <c r="AL10" s="52"/>
      <c r="AM10" s="48" t="s">
        <v>301</v>
      </c>
      <c r="AN10" s="123" t="s">
        <v>219</v>
      </c>
      <c r="AO10" s="168" t="s">
        <v>205</v>
      </c>
      <c r="AP10" s="168" t="s">
        <v>161</v>
      </c>
    </row>
    <row r="11" spans="1:46">
      <c r="A11" s="156">
        <v>2</v>
      </c>
      <c r="B11" s="157" t="s">
        <v>89</v>
      </c>
      <c r="C11" s="152" t="s">
        <v>148</v>
      </c>
      <c r="D11" s="152" t="s">
        <v>150</v>
      </c>
      <c r="E11" s="152">
        <v>40848</v>
      </c>
      <c r="F11" s="158" t="s">
        <v>90</v>
      </c>
      <c r="G11" s="238">
        <v>20000000</v>
      </c>
      <c r="H11" s="287">
        <v>23</v>
      </c>
      <c r="I11" s="287">
        <v>0</v>
      </c>
      <c r="J11" s="287">
        <f t="shared" ref="J11:J33" si="1">H11+I11</f>
        <v>23</v>
      </c>
      <c r="K11" s="242">
        <f t="shared" si="0"/>
        <v>20000000</v>
      </c>
      <c r="L11" s="50">
        <v>37000000</v>
      </c>
      <c r="M11" s="162">
        <f>SUM(K11:L11)</f>
        <v>57000000</v>
      </c>
      <c r="N11" s="172"/>
      <c r="O11" s="50"/>
      <c r="P11" s="159"/>
      <c r="Q11" s="164">
        <f t="shared" ref="Q11:Q31" si="2">SUM(M11:P11)</f>
        <v>57000000</v>
      </c>
      <c r="R11" s="165">
        <f>(MIN(VALUE($G11),Assu!$E$3))*R$9</f>
        <v>1600000</v>
      </c>
      <c r="S11" s="165">
        <f>(MIN(VALUE($G11),Assu!$E$3))*S$9</f>
        <v>300000</v>
      </c>
      <c r="T11" s="165">
        <f>(MIN(VALUE($G11),Assu!$E$5))*T$9</f>
        <v>200000</v>
      </c>
      <c r="U11" s="159">
        <f>SUM(R11:T11)</f>
        <v>2100000</v>
      </c>
      <c r="V11" s="159">
        <v>1</v>
      </c>
      <c r="W11" s="159">
        <f t="shared" ref="W11:W33" si="3">V11*$W$9</f>
        <v>4400000</v>
      </c>
      <c r="X11" s="159">
        <f t="shared" ref="X11:X29" si="4">IF(VALUE(Q11)=0,0,$X$9)</f>
        <v>11000000</v>
      </c>
      <c r="Y11" s="159">
        <f t="shared" ref="Y11:Y33" si="5">SUM(W11:X11)</f>
        <v>15400000</v>
      </c>
      <c r="Z11" s="159">
        <f>IF((Q11-U12-Y11)&lt;0,0,(Q11-U12-Y11))</f>
        <v>41600000</v>
      </c>
      <c r="AA11" s="164">
        <f>IF(AND(Z11&lt;10000000,Z11&gt;5000000),Z11*10%-250000,IF(AND(Z11&lt;18000000,Z11&gt;10000000),Z11*15%-750000,IF(AND(Z11&lt;32000000,Z11&gt;18000000),Z11*20%-1650000,IF(AND(Z11&lt;52000000,Z11&gt;32000000),Z11*25%-3250000,IF(AND(Z11&lt;80000000,Z11&gt;52000000),Z11*30%-5850000,IF(Z11&gt;80000000,Z11*35%-9850000,Z11*5%))))))</f>
        <v>7150000</v>
      </c>
      <c r="AB11" s="159"/>
      <c r="AC11" s="166"/>
      <c r="AD11" s="164">
        <f t="shared" ref="AD11:AD34" si="6">Q11-U11-AA11-AB11-AC11</f>
        <v>47750000</v>
      </c>
      <c r="AE11" s="165">
        <f>(MIN(VALUE($G11),Assu!$E$3))*AE$9</f>
        <v>4700000</v>
      </c>
      <c r="AF11" s="165">
        <f>(MIN(VALUE($G11),Assu!$E$3))*AF$9</f>
        <v>6799999.9999999991</v>
      </c>
      <c r="AG11" s="165">
        <f>Q11*$AG$9/12</f>
        <v>4750000</v>
      </c>
      <c r="AH11" s="165">
        <f t="shared" ref="AH11:AH31" si="7">AA11</f>
        <v>7150000</v>
      </c>
      <c r="AI11" s="48" t="s">
        <v>322</v>
      </c>
      <c r="AJ11" s="48"/>
      <c r="AK11" s="159"/>
      <c r="AL11" s="52"/>
      <c r="AM11" s="48" t="s">
        <v>301</v>
      </c>
      <c r="AN11" s="123" t="s">
        <v>218</v>
      </c>
      <c r="AO11" s="168" t="s">
        <v>140</v>
      </c>
      <c r="AP11" s="168" t="s">
        <v>160</v>
      </c>
      <c r="AT11" s="169"/>
    </row>
    <row r="12" spans="1:46">
      <c r="A12" s="156">
        <v>3</v>
      </c>
      <c r="B12" s="157" t="s">
        <v>49</v>
      </c>
      <c r="C12" s="152" t="s">
        <v>148</v>
      </c>
      <c r="D12" s="152" t="s">
        <v>163</v>
      </c>
      <c r="E12" s="152">
        <v>41334</v>
      </c>
      <c r="F12" s="158" t="s">
        <v>65</v>
      </c>
      <c r="G12" s="238">
        <v>0</v>
      </c>
      <c r="H12" s="287">
        <v>23</v>
      </c>
      <c r="I12" s="287">
        <v>0</v>
      </c>
      <c r="J12" s="287">
        <f t="shared" si="1"/>
        <v>23</v>
      </c>
      <c r="K12" s="242">
        <f t="shared" si="0"/>
        <v>0</v>
      </c>
      <c r="L12" s="50">
        <f>16800000</f>
        <v>16800000</v>
      </c>
      <c r="M12" s="162">
        <f t="shared" ref="M12:M33" si="8">SUM(K12:L12)</f>
        <v>16800000</v>
      </c>
      <c r="N12" s="172"/>
      <c r="O12" s="50"/>
      <c r="P12" s="159"/>
      <c r="Q12" s="164">
        <f t="shared" si="2"/>
        <v>16800000</v>
      </c>
      <c r="R12" s="165">
        <f>(MIN(VALUE($G12),Assu!$E$3))*R$9</f>
        <v>0</v>
      </c>
      <c r="S12" s="165">
        <f>(MIN(VALUE($G12),Assu!$E$3))*S$9</f>
        <v>0</v>
      </c>
      <c r="T12" s="165">
        <f>(MIN(VALUE($G12),Assu!$E$5))*T$9</f>
        <v>0</v>
      </c>
      <c r="U12" s="159">
        <f>SUM(R12:T12)</f>
        <v>0</v>
      </c>
      <c r="V12" s="159">
        <v>0</v>
      </c>
      <c r="W12" s="159">
        <f t="shared" si="3"/>
        <v>0</v>
      </c>
      <c r="X12" s="159">
        <f t="shared" si="4"/>
        <v>11000000</v>
      </c>
      <c r="Y12" s="159">
        <f t="shared" si="5"/>
        <v>11000000</v>
      </c>
      <c r="Z12" s="159">
        <f>IF((Q12-U21-Y12)&lt;0,0,(Q12-U21-Y12))</f>
        <v>4697500</v>
      </c>
      <c r="AA12" s="164">
        <f>IF(AND(Z12&lt;10000000,Z12&gt;5000000),Z12*10%-250000,IF(AND(Z12&lt;18000000,Z12&gt;10000000),Z12*15%-750000,IF(AND(Z12&lt;32000000,Z12&gt;18000000),Z12*20%-1650000,IF(AND(Z12&lt;52000000,Z12&gt;32000000),Z12*25%-3250000,IF(AND(Z12&lt;80000000,Z12&gt;52000000),Z12*30%-5850000,IF(Z12&gt;80000000,Z12*35%-9850000,Z12*5%))))))</f>
        <v>234875</v>
      </c>
      <c r="AB12" s="159"/>
      <c r="AC12" s="166"/>
      <c r="AD12" s="170">
        <f>Q12-U12-AB12-AC12</f>
        <v>16800000</v>
      </c>
      <c r="AE12" s="165">
        <f>(MIN(VALUE($G12),Assu!$E$3))*AE$9</f>
        <v>0</v>
      </c>
      <c r="AF12" s="165">
        <f>(MIN(VALUE($G12),Assu!$E$3))*AF$9</f>
        <v>0</v>
      </c>
      <c r="AG12" s="165">
        <f t="shared" ref="AG12:AG34" si="9">Q12*$AG$9/12</f>
        <v>1400000</v>
      </c>
      <c r="AH12" s="165">
        <f t="shared" si="7"/>
        <v>234875</v>
      </c>
      <c r="AI12" s="48" t="s">
        <v>322</v>
      </c>
      <c r="AJ12" s="48"/>
      <c r="AK12" s="153"/>
      <c r="AL12" s="52"/>
      <c r="AM12" s="48" t="s">
        <v>301</v>
      </c>
      <c r="AN12" s="123" t="s">
        <v>220</v>
      </c>
      <c r="AO12" s="168" t="s">
        <v>140</v>
      </c>
      <c r="AP12" s="168" t="s">
        <v>161</v>
      </c>
      <c r="AT12" s="169"/>
    </row>
    <row r="13" spans="1:46">
      <c r="A13" s="156">
        <v>4</v>
      </c>
      <c r="B13" s="157" t="s">
        <v>114</v>
      </c>
      <c r="C13" s="244" t="s">
        <v>168</v>
      </c>
      <c r="D13" s="227" t="s">
        <v>169</v>
      </c>
      <c r="E13" s="124">
        <v>42492</v>
      </c>
      <c r="F13" s="247" t="s">
        <v>115</v>
      </c>
      <c r="G13" s="238">
        <v>9400000</v>
      </c>
      <c r="H13" s="287">
        <v>23</v>
      </c>
      <c r="I13" s="287">
        <v>0</v>
      </c>
      <c r="J13" s="287">
        <f t="shared" si="1"/>
        <v>23</v>
      </c>
      <c r="K13" s="161">
        <f t="shared" si="0"/>
        <v>9400000</v>
      </c>
      <c r="L13" s="50"/>
      <c r="M13" s="162">
        <f t="shared" si="8"/>
        <v>9400000</v>
      </c>
      <c r="N13" s="172"/>
      <c r="O13" s="50"/>
      <c r="P13" s="172"/>
      <c r="Q13" s="164">
        <f t="shared" si="2"/>
        <v>9400000</v>
      </c>
      <c r="R13" s="165">
        <f>(MIN(VALUE($G13),Assu!$E$3))*R$9</f>
        <v>752000</v>
      </c>
      <c r="S13" s="165">
        <f>(MIN(VALUE($G13),Assu!$E$3))*S$9</f>
        <v>141000</v>
      </c>
      <c r="T13" s="165">
        <f>(MIN(VALUE($G13),Assu!$E$5))*T$9</f>
        <v>94000</v>
      </c>
      <c r="U13" s="159">
        <f t="shared" ref="U13" si="10">SUM(R13:T13)</f>
        <v>987000</v>
      </c>
      <c r="V13" s="159">
        <v>0</v>
      </c>
      <c r="W13" s="159">
        <f t="shared" si="3"/>
        <v>0</v>
      </c>
      <c r="X13" s="159">
        <f t="shared" si="4"/>
        <v>11000000</v>
      </c>
      <c r="Y13" s="159">
        <f t="shared" si="5"/>
        <v>11000000</v>
      </c>
      <c r="Z13" s="159">
        <f t="shared" ref="Z13" si="11">IF((Q13-U13-Y13)&lt;0,0,(Q13-U13-Y13))</f>
        <v>0</v>
      </c>
      <c r="AA13" s="164">
        <f t="shared" ref="AA13" si="12">IF(AND(Z13&lt;10000000,Z13&gt;5000000),Z13*10%-250000,IF(AND(Z13&lt;18000000,Z13&gt;10000000),Z13*15%-750000,IF(AND(Z13&lt;32000000,Z13&gt;18000000),Z13*20%-1650000,IF(AND(Z13&lt;52000000,Z13&gt;32000000),Z13*25%-3250000,IF(AND(Z13&lt;80000000,Z13&gt;52000000),Z13*30%-5850000,IF(Z13&gt;80000000,Z13*35%-9850000,Z13*5%))))))</f>
        <v>0</v>
      </c>
      <c r="AB13" s="159"/>
      <c r="AC13" s="166"/>
      <c r="AD13" s="164">
        <f t="shared" si="6"/>
        <v>8413000</v>
      </c>
      <c r="AE13" s="165">
        <f>(MIN(VALUE($G13),Assu!$E$3))*AE$9</f>
        <v>2209000</v>
      </c>
      <c r="AF13" s="165">
        <f>(MIN(VALUE($G13),Assu!$E$3))*AF$9</f>
        <v>3195999.9999999995</v>
      </c>
      <c r="AG13" s="165">
        <f t="shared" si="9"/>
        <v>783333.33333333337</v>
      </c>
      <c r="AH13" s="165">
        <f t="shared" si="7"/>
        <v>0</v>
      </c>
      <c r="AI13" s="48"/>
      <c r="AJ13" s="48"/>
      <c r="AK13" s="48"/>
      <c r="AL13" s="52"/>
      <c r="AM13" s="48" t="s">
        <v>301</v>
      </c>
      <c r="AN13" s="123" t="s">
        <v>223</v>
      </c>
      <c r="AO13" s="168" t="s">
        <v>201</v>
      </c>
      <c r="AP13" s="168" t="s">
        <v>160</v>
      </c>
      <c r="AT13" s="169"/>
    </row>
    <row r="14" spans="1:46">
      <c r="A14" s="156">
        <v>5</v>
      </c>
      <c r="B14" s="157" t="s">
        <v>122</v>
      </c>
      <c r="C14" s="244" t="s">
        <v>168</v>
      </c>
      <c r="D14" s="152" t="s">
        <v>170</v>
      </c>
      <c r="E14" s="152">
        <v>42114</v>
      </c>
      <c r="F14" s="158" t="s">
        <v>123</v>
      </c>
      <c r="G14" s="239">
        <v>13500000</v>
      </c>
      <c r="H14" s="287">
        <v>23</v>
      </c>
      <c r="I14" s="287">
        <v>0</v>
      </c>
      <c r="J14" s="287">
        <f t="shared" si="1"/>
        <v>23</v>
      </c>
      <c r="K14" s="161">
        <v>0</v>
      </c>
      <c r="L14" s="50"/>
      <c r="M14" s="162">
        <f t="shared" si="8"/>
        <v>0</v>
      </c>
      <c r="N14" s="172"/>
      <c r="O14" s="248">
        <v>5529661</v>
      </c>
      <c r="P14" s="159"/>
      <c r="Q14" s="164">
        <f t="shared" si="2"/>
        <v>5529661</v>
      </c>
      <c r="R14" s="165"/>
      <c r="S14" s="165"/>
      <c r="T14" s="165"/>
      <c r="U14" s="159">
        <f>SUM(R14:T14)</f>
        <v>0</v>
      </c>
      <c r="V14" s="159">
        <v>1</v>
      </c>
      <c r="W14" s="159">
        <f>V14*$W$9</f>
        <v>4400000</v>
      </c>
      <c r="X14" s="159">
        <f>IF(VALUE(Q14)=0,0,$X$9)</f>
        <v>11000000</v>
      </c>
      <c r="Y14" s="159">
        <f>SUM(W14:X14)</f>
        <v>15400000</v>
      </c>
      <c r="Z14" s="159">
        <f>IF((Q14-U14-Y14)&lt;0,0,(Q14-U14-Y14))</f>
        <v>0</v>
      </c>
      <c r="AA14" s="164">
        <f>IF(AND(Z14&lt;10000000,Z14&gt;5000000),Z14*10%-250000,IF(AND(Z14&lt;18000000,Z14&gt;10000000),Z14*15%-750000,IF(AND(Z14&lt;32000000,Z14&gt;18000000),Z14*20%-1650000,IF(AND(Z14&lt;52000000,Z14&gt;32000000),Z14*25%-3250000,IF(AND(Z14&lt;80000000,Z14&gt;52000000),Z14*30%-5850000,IF(Z14&gt;80000000,Z14*35%-9850000,Z14*5%))))))</f>
        <v>0</v>
      </c>
      <c r="AB14" s="159"/>
      <c r="AC14" s="166"/>
      <c r="AD14" s="164">
        <f t="shared" si="6"/>
        <v>5529661</v>
      </c>
      <c r="AE14" s="165"/>
      <c r="AF14" s="165"/>
      <c r="AG14" s="165">
        <f>Q14*$AG$9/12</f>
        <v>460805.08333333331</v>
      </c>
      <c r="AH14" s="165">
        <f>AA14</f>
        <v>0</v>
      </c>
      <c r="AI14" s="48"/>
      <c r="AJ14" s="48"/>
      <c r="AK14" s="48" t="s">
        <v>323</v>
      </c>
      <c r="AL14" s="52"/>
      <c r="AM14" s="48" t="s">
        <v>301</v>
      </c>
      <c r="AN14" s="123" t="s">
        <v>229</v>
      </c>
      <c r="AO14" s="168" t="s">
        <v>141</v>
      </c>
      <c r="AP14" s="168" t="s">
        <v>160</v>
      </c>
    </row>
    <row r="15" spans="1:46">
      <c r="A15" s="156">
        <v>6</v>
      </c>
      <c r="B15" s="243" t="s">
        <v>280</v>
      </c>
      <c r="C15" s="244" t="s">
        <v>168</v>
      </c>
      <c r="D15" s="152" t="s">
        <v>170</v>
      </c>
      <c r="E15" s="152">
        <v>43619</v>
      </c>
      <c r="F15" s="158" t="s">
        <v>281</v>
      </c>
      <c r="G15" s="239">
        <v>6500000</v>
      </c>
      <c r="H15" s="287">
        <v>23</v>
      </c>
      <c r="I15" s="287">
        <v>0</v>
      </c>
      <c r="J15" s="287">
        <f t="shared" si="1"/>
        <v>23</v>
      </c>
      <c r="K15" s="161">
        <f>G15/H15*J15</f>
        <v>6499999.9999999991</v>
      </c>
      <c r="L15" s="51">
        <v>650000</v>
      </c>
      <c r="M15" s="162">
        <f t="shared" si="8"/>
        <v>7149999.9999999991</v>
      </c>
      <c r="N15" s="172"/>
      <c r="O15" s="248">
        <v>427610</v>
      </c>
      <c r="P15" s="159"/>
      <c r="Q15" s="164">
        <f t="shared" si="2"/>
        <v>7577609.9999999991</v>
      </c>
      <c r="R15" s="165">
        <f>(MIN(VALUE($G15),Assu!$E$3))*R$9</f>
        <v>520000</v>
      </c>
      <c r="S15" s="165">
        <f>(MIN(VALUE($G15),Assu!$E$3))*S$9</f>
        <v>97500</v>
      </c>
      <c r="T15" s="165">
        <f>(MIN(VALUE($G15),Assu!$E$5))*T$9</f>
        <v>65000</v>
      </c>
      <c r="U15" s="159">
        <f>SUM(R15:T15)</f>
        <v>682500</v>
      </c>
      <c r="V15" s="159">
        <v>0</v>
      </c>
      <c r="W15" s="159">
        <f>V15*$W$9</f>
        <v>0</v>
      </c>
      <c r="X15" s="159">
        <f>IF(VALUE(Q15)=0,0,$X$9)</f>
        <v>11000000</v>
      </c>
      <c r="Y15" s="159">
        <f>SUM(W15:X15)</f>
        <v>11000000</v>
      </c>
      <c r="Z15" s="159">
        <f>IF((Q15-U15-Y15)&lt;0,0,(Q15-U15-Y15))</f>
        <v>0</v>
      </c>
      <c r="AA15" s="164">
        <f>IF(AND(Z15&lt;10000000,Z15&gt;5000000),Z15*10%-250000,IF(AND(Z15&lt;18000000,Z15&gt;10000000),Z15*15%-750000,IF(AND(Z15&lt;32000000,Z15&gt;18000000),Z15*20%-1650000,IF(AND(Z15&lt;52000000,Z15&gt;32000000),Z15*25%-3250000,IF(AND(Z15&lt;80000000,Z15&gt;52000000),Z15*30%-5850000,IF(Z15&gt;80000000,Z15*35%-9850000,Z15*5%))))))</f>
        <v>0</v>
      </c>
      <c r="AB15" s="159"/>
      <c r="AC15" s="166"/>
      <c r="AD15" s="164">
        <f t="shared" si="6"/>
        <v>6895109.9999999991</v>
      </c>
      <c r="AE15" s="165">
        <f>(MIN(VALUE($G15),Assu!$E$3))*AE$9</f>
        <v>1527500</v>
      </c>
      <c r="AF15" s="165">
        <f>(MIN(VALUE($G15),Assu!$E$3))*AF$9</f>
        <v>2210000</v>
      </c>
      <c r="AG15" s="165">
        <f>Q15*$AG$9/12</f>
        <v>631467.49999999988</v>
      </c>
      <c r="AH15" s="165">
        <f>AA15</f>
        <v>0</v>
      </c>
      <c r="AI15" s="48" t="s">
        <v>322</v>
      </c>
      <c r="AJ15" s="48"/>
      <c r="AK15" s="48" t="s">
        <v>323</v>
      </c>
      <c r="AL15" s="52"/>
      <c r="AM15" s="48" t="s">
        <v>301</v>
      </c>
      <c r="AN15" s="123" t="s">
        <v>329</v>
      </c>
      <c r="AO15" s="168" t="s">
        <v>141</v>
      </c>
      <c r="AP15" s="168" t="s">
        <v>160</v>
      </c>
    </row>
    <row r="16" spans="1:46">
      <c r="A16" s="156">
        <v>7</v>
      </c>
      <c r="B16" s="157" t="s">
        <v>120</v>
      </c>
      <c r="C16" s="244" t="s">
        <v>168</v>
      </c>
      <c r="D16" s="227" t="s">
        <v>194</v>
      </c>
      <c r="E16" s="124">
        <v>40848</v>
      </c>
      <c r="F16" s="247" t="s">
        <v>121</v>
      </c>
      <c r="G16" s="239">
        <v>16000000</v>
      </c>
      <c r="H16" s="287">
        <v>23</v>
      </c>
      <c r="I16" s="287">
        <v>0</v>
      </c>
      <c r="J16" s="287">
        <f t="shared" si="1"/>
        <v>23</v>
      </c>
      <c r="K16" s="161">
        <f t="shared" ref="K16:K17" si="13">G16/H16*J16</f>
        <v>16000000</v>
      </c>
      <c r="L16" s="51"/>
      <c r="M16" s="162">
        <f t="shared" ref="M16:M21" si="14">SUM(K16:L16)</f>
        <v>16000000</v>
      </c>
      <c r="N16" s="172"/>
      <c r="O16" s="172"/>
      <c r="P16" s="172">
        <v>500000</v>
      </c>
      <c r="Q16" s="164">
        <f t="shared" si="2"/>
        <v>16500000</v>
      </c>
      <c r="R16" s="165">
        <f>(MIN(VALUE($G16),Assu!$E$3))*R$9</f>
        <v>1280000</v>
      </c>
      <c r="S16" s="165">
        <f>(MIN(VALUE($G16),Assu!$E$3))*S$9</f>
        <v>240000</v>
      </c>
      <c r="T16" s="165">
        <f>(MIN(VALUE($G16),Assu!$E$5))*T$9</f>
        <v>160000</v>
      </c>
      <c r="U16" s="159">
        <f t="shared" ref="U16:U17" si="15">SUM(R16:T16)</f>
        <v>1680000</v>
      </c>
      <c r="V16" s="159">
        <v>1</v>
      </c>
      <c r="W16" s="159">
        <f t="shared" ref="W16:W17" si="16">V16*$W$9</f>
        <v>4400000</v>
      </c>
      <c r="X16" s="159">
        <f t="shared" ref="X16:X17" si="17">IF(VALUE(Q16)=0,0,$X$9)</f>
        <v>11000000</v>
      </c>
      <c r="Y16" s="159">
        <f t="shared" ref="Y16:Y17" si="18">SUM(W16:X16)</f>
        <v>15400000</v>
      </c>
      <c r="Z16" s="159">
        <f t="shared" ref="Z16:Z17" si="19">IF((Q16-U16-Y16)&lt;0,0,(Q16-U16-Y16))</f>
        <v>0</v>
      </c>
      <c r="AA16" s="164">
        <f t="shared" ref="AA16:AA17" si="20">IF(AND(Z16&lt;10000000,Z16&gt;5000000),Z16*10%-250000,IF(AND(Z16&lt;18000000,Z16&gt;10000000),Z16*15%-750000,IF(AND(Z16&lt;32000000,Z16&gt;18000000),Z16*20%-1650000,IF(AND(Z16&lt;52000000,Z16&gt;32000000),Z16*25%-3250000,IF(AND(Z16&lt;80000000,Z16&gt;52000000),Z16*30%-5850000,IF(Z16&gt;80000000,Z16*35%-9850000,Z16*5%))))))</f>
        <v>0</v>
      </c>
      <c r="AB16" s="159"/>
      <c r="AC16" s="166"/>
      <c r="AD16" s="164">
        <f t="shared" si="6"/>
        <v>14820000</v>
      </c>
      <c r="AE16" s="165">
        <f>(MIN(VALUE($G16),Assu!$E$3))*AE$9</f>
        <v>3760000</v>
      </c>
      <c r="AF16" s="165">
        <f>(MIN(VALUE($G16),Assu!$E$3))*AF$9</f>
        <v>5439999.9999999991</v>
      </c>
      <c r="AG16" s="165">
        <f t="shared" ref="AG16:AG17" si="21">Q16*$AG$9/12</f>
        <v>1375000</v>
      </c>
      <c r="AH16" s="165">
        <f t="shared" ref="AH16:AH17" si="22">AA16</f>
        <v>0</v>
      </c>
      <c r="AI16" s="48"/>
      <c r="AJ16" s="48"/>
      <c r="AK16" s="48"/>
      <c r="AL16" s="48" t="s">
        <v>324</v>
      </c>
      <c r="AM16" s="48" t="s">
        <v>301</v>
      </c>
      <c r="AN16" s="123" t="s">
        <v>225</v>
      </c>
      <c r="AO16" s="168" t="s">
        <v>144</v>
      </c>
      <c r="AP16" s="168" t="s">
        <v>160</v>
      </c>
    </row>
    <row r="17" spans="1:46">
      <c r="A17" s="156">
        <v>8</v>
      </c>
      <c r="B17" s="157" t="s">
        <v>124</v>
      </c>
      <c r="C17" s="244" t="s">
        <v>168</v>
      </c>
      <c r="D17" s="227" t="s">
        <v>194</v>
      </c>
      <c r="E17" s="124">
        <v>41855</v>
      </c>
      <c r="F17" s="247" t="s">
        <v>125</v>
      </c>
      <c r="G17" s="239">
        <v>8950000</v>
      </c>
      <c r="H17" s="287">
        <v>23</v>
      </c>
      <c r="I17" s="287">
        <v>0</v>
      </c>
      <c r="J17" s="287">
        <f t="shared" si="1"/>
        <v>23</v>
      </c>
      <c r="K17" s="161">
        <f t="shared" si="13"/>
        <v>8950000</v>
      </c>
      <c r="L17" s="292">
        <v>1200000</v>
      </c>
      <c r="M17" s="162">
        <f t="shared" si="14"/>
        <v>10150000</v>
      </c>
      <c r="N17" s="172"/>
      <c r="O17" s="172"/>
      <c r="P17" s="172">
        <v>500000</v>
      </c>
      <c r="Q17" s="164">
        <f t="shared" si="2"/>
        <v>10650000</v>
      </c>
      <c r="R17" s="165">
        <f>(MIN(VALUE($G17),Assu!$E$3))*R$9</f>
        <v>716000</v>
      </c>
      <c r="S17" s="165">
        <f>(MIN(VALUE($G17),Assu!$E$3))*S$9</f>
        <v>134250</v>
      </c>
      <c r="T17" s="165">
        <f>(MIN(VALUE($G17),Assu!$E$5))*T$9</f>
        <v>89500</v>
      </c>
      <c r="U17" s="159">
        <f t="shared" si="15"/>
        <v>939750</v>
      </c>
      <c r="V17" s="159">
        <v>1</v>
      </c>
      <c r="W17" s="159">
        <f t="shared" si="16"/>
        <v>4400000</v>
      </c>
      <c r="X17" s="159">
        <f t="shared" si="17"/>
        <v>11000000</v>
      </c>
      <c r="Y17" s="159">
        <f t="shared" si="18"/>
        <v>15400000</v>
      </c>
      <c r="Z17" s="159">
        <f t="shared" si="19"/>
        <v>0</v>
      </c>
      <c r="AA17" s="164">
        <f t="shared" si="20"/>
        <v>0</v>
      </c>
      <c r="AB17" s="159"/>
      <c r="AC17" s="166"/>
      <c r="AD17" s="164">
        <f t="shared" si="6"/>
        <v>9710250</v>
      </c>
      <c r="AE17" s="165">
        <f>(MIN(VALUE($G17),Assu!$E$3))*AE$9</f>
        <v>2103250</v>
      </c>
      <c r="AF17" s="165">
        <f>(MIN(VALUE($G17),Assu!$E$3))*AF$9</f>
        <v>3042999.9999999995</v>
      </c>
      <c r="AG17" s="165">
        <f t="shared" si="21"/>
        <v>887500</v>
      </c>
      <c r="AH17" s="165">
        <f t="shared" si="22"/>
        <v>0</v>
      </c>
      <c r="AI17" s="48" t="s">
        <v>322</v>
      </c>
      <c r="AJ17" s="48"/>
      <c r="AK17" s="48"/>
      <c r="AL17" s="48" t="s">
        <v>324</v>
      </c>
      <c r="AM17" s="48" t="s">
        <v>301</v>
      </c>
      <c r="AN17" s="123" t="s">
        <v>226</v>
      </c>
      <c r="AO17" s="168" t="s">
        <v>141</v>
      </c>
      <c r="AP17" s="168" t="s">
        <v>160</v>
      </c>
    </row>
    <row r="18" spans="1:46">
      <c r="A18" s="156">
        <v>9</v>
      </c>
      <c r="B18" s="173" t="s">
        <v>116</v>
      </c>
      <c r="C18" s="244" t="s">
        <v>168</v>
      </c>
      <c r="D18" s="47" t="s">
        <v>193</v>
      </c>
      <c r="E18" s="124">
        <v>42736</v>
      </c>
      <c r="F18" s="158" t="s">
        <v>117</v>
      </c>
      <c r="G18" s="238">
        <v>7000000</v>
      </c>
      <c r="H18" s="287">
        <v>23</v>
      </c>
      <c r="I18" s="287">
        <v>0</v>
      </c>
      <c r="J18" s="287">
        <f t="shared" si="1"/>
        <v>23</v>
      </c>
      <c r="K18" s="161">
        <f>G18/H18*J18</f>
        <v>7000000</v>
      </c>
      <c r="L18" s="297"/>
      <c r="M18" s="162">
        <f t="shared" si="14"/>
        <v>7000000</v>
      </c>
      <c r="N18" s="172"/>
      <c r="O18" s="172"/>
      <c r="P18" s="159">
        <v>500000</v>
      </c>
      <c r="Q18" s="164">
        <f t="shared" si="2"/>
        <v>7500000</v>
      </c>
      <c r="R18" s="165">
        <f>(MIN(VALUE($G18),Assu!$E$3))*R$9</f>
        <v>560000</v>
      </c>
      <c r="S18" s="165">
        <f>(MIN(VALUE($G18),Assu!$E$3))*S$9</f>
        <v>105000</v>
      </c>
      <c r="T18" s="165">
        <f>(MIN(VALUE($G18),Assu!$E$5))*T$9</f>
        <v>70000</v>
      </c>
      <c r="U18" s="159">
        <f>SUM(R18:T18)</f>
        <v>735000</v>
      </c>
      <c r="V18" s="159">
        <v>0</v>
      </c>
      <c r="W18" s="159">
        <f>V18*$W$9</f>
        <v>0</v>
      </c>
      <c r="X18" s="159">
        <f>IF(VALUE(Q18)=0,0,$X$9)</f>
        <v>11000000</v>
      </c>
      <c r="Y18" s="159">
        <f>SUM(W18:X18)</f>
        <v>11000000</v>
      </c>
      <c r="Z18" s="159">
        <f>IF((Q18-U18-Y18)&lt;0,0,(Q18-U18-Y18))</f>
        <v>0</v>
      </c>
      <c r="AA18" s="164">
        <f>IF(AND(Z18&lt;10000000,Z18&gt;5000000),Z18*10%-250000,IF(AND(Z18&lt;18000000,Z18&gt;10000000),Z18*15%-750000,IF(AND(Z18&lt;32000000,Z18&gt;18000000),Z18*20%-1650000,IF(AND(Z18&lt;52000000,Z18&gt;32000000),Z18*25%-3250000,IF(AND(Z18&lt;80000000,Z18&gt;52000000),Z18*30%-5850000,IF(Z18&gt;80000000,Z18*35%-9850000,Z18*5%))))))</f>
        <v>0</v>
      </c>
      <c r="AB18" s="159"/>
      <c r="AC18" s="166"/>
      <c r="AD18" s="164">
        <f t="shared" si="6"/>
        <v>6765000</v>
      </c>
      <c r="AE18" s="165">
        <f>(MIN(VALUE($G18),Assu!$E$3))*AE$9</f>
        <v>1645000</v>
      </c>
      <c r="AF18" s="165">
        <f>(MIN(VALUE($G18),Assu!$E$3))*AF$9</f>
        <v>2380000</v>
      </c>
      <c r="AG18" s="165">
        <f>Q18*$AG$9/12</f>
        <v>625000</v>
      </c>
      <c r="AH18" s="165">
        <f>AA18</f>
        <v>0</v>
      </c>
      <c r="AI18" s="48"/>
      <c r="AJ18" s="48"/>
      <c r="AK18" s="48"/>
      <c r="AL18" s="48" t="s">
        <v>324</v>
      </c>
      <c r="AM18" s="48" t="s">
        <v>301</v>
      </c>
      <c r="AN18" s="123" t="s">
        <v>230</v>
      </c>
      <c r="AO18" s="168" t="s">
        <v>143</v>
      </c>
      <c r="AP18" s="168" t="s">
        <v>160</v>
      </c>
      <c r="AT18" s="169"/>
    </row>
    <row r="19" spans="1:46">
      <c r="A19" s="156">
        <v>10</v>
      </c>
      <c r="B19" s="288" t="s">
        <v>294</v>
      </c>
      <c r="C19" s="289" t="s">
        <v>168</v>
      </c>
      <c r="D19" s="124" t="s">
        <v>193</v>
      </c>
      <c r="E19" s="124">
        <v>43891</v>
      </c>
      <c r="F19" s="158" t="s">
        <v>295</v>
      </c>
      <c r="G19" s="239">
        <v>5500000</v>
      </c>
      <c r="H19" s="287">
        <v>23</v>
      </c>
      <c r="I19" s="287">
        <v>0</v>
      </c>
      <c r="J19" s="287">
        <f t="shared" si="1"/>
        <v>23</v>
      </c>
      <c r="K19" s="161">
        <f>G19/H19*J19</f>
        <v>5500000</v>
      </c>
      <c r="L19" s="297"/>
      <c r="M19" s="162">
        <f t="shared" si="14"/>
        <v>5500000</v>
      </c>
      <c r="N19" s="172"/>
      <c r="O19" s="172"/>
      <c r="P19" s="172">
        <v>500000</v>
      </c>
      <c r="Q19" s="164">
        <f t="shared" si="2"/>
        <v>6000000</v>
      </c>
      <c r="R19" s="165">
        <f>(MIN(VALUE($G19),Assu!$E$3))*R$9</f>
        <v>440000</v>
      </c>
      <c r="S19" s="165">
        <f>(MIN(VALUE($G19),Assu!$E$3))*S$9</f>
        <v>82500</v>
      </c>
      <c r="T19" s="165">
        <f>(MIN(VALUE($G19),Assu!$E$5))*T$9</f>
        <v>55000</v>
      </c>
      <c r="U19" s="159">
        <f>SUM(R19:T19)</f>
        <v>577500</v>
      </c>
      <c r="V19" s="159">
        <v>0</v>
      </c>
      <c r="W19" s="159">
        <f>V19*$W$9</f>
        <v>0</v>
      </c>
      <c r="X19" s="159">
        <f>IF(VALUE(Q19)=0,0,$X$9)</f>
        <v>11000000</v>
      </c>
      <c r="Y19" s="159">
        <f>SUM(W19:X19)</f>
        <v>11000000</v>
      </c>
      <c r="Z19" s="159">
        <f>IF((Q19-U19-Y19)&lt;0,0,(Q19-U19-Y19))</f>
        <v>0</v>
      </c>
      <c r="AA19" s="164">
        <f>IF(AND(Z19&lt;10000000,Z19&gt;5000000),Z19*10%-250000,IF(AND(Z19&lt;18000000,Z19&gt;10000000),Z19*15%-750000,IF(AND(Z19&lt;32000000,Z19&gt;18000000),Z19*20%-1650000,IF(AND(Z19&lt;52000000,Z19&gt;32000000),Z19*25%-3250000,IF(AND(Z19&lt;80000000,Z19&gt;52000000),Z19*30%-5850000,IF(Z19&gt;80000000,Z19*35%-9850000,Z19*5%))))))</f>
        <v>0</v>
      </c>
      <c r="AB19" s="174"/>
      <c r="AC19" s="166"/>
      <c r="AD19" s="164">
        <f t="shared" si="6"/>
        <v>5422500</v>
      </c>
      <c r="AE19" s="165">
        <f>(MIN(VALUE($G19),Assu!$E$3))*AE$9</f>
        <v>1292500</v>
      </c>
      <c r="AF19" s="165">
        <f>(MIN(VALUE($G19),Assu!$E$3))*AF$9</f>
        <v>1869999.9999999998</v>
      </c>
      <c r="AG19" s="165">
        <f>Q19*$AG$9/12</f>
        <v>500000</v>
      </c>
      <c r="AH19" s="165">
        <f>AA19</f>
        <v>0</v>
      </c>
      <c r="AI19" s="48"/>
      <c r="AJ19" s="48"/>
      <c r="AK19" s="48"/>
      <c r="AL19" s="48" t="s">
        <v>324</v>
      </c>
      <c r="AM19" s="48" t="s">
        <v>301</v>
      </c>
      <c r="AN19" s="123" t="s">
        <v>296</v>
      </c>
      <c r="AO19" s="168" t="s">
        <v>297</v>
      </c>
      <c r="AP19" s="168" t="s">
        <v>160</v>
      </c>
    </row>
    <row r="20" spans="1:46">
      <c r="A20" s="156">
        <v>11</v>
      </c>
      <c r="B20" s="243" t="s">
        <v>282</v>
      </c>
      <c r="C20" s="244" t="s">
        <v>168</v>
      </c>
      <c r="D20" s="47" t="s">
        <v>193</v>
      </c>
      <c r="E20" s="124">
        <v>43675</v>
      </c>
      <c r="F20" s="158" t="s">
        <v>283</v>
      </c>
      <c r="G20" s="239">
        <v>5000000</v>
      </c>
      <c r="H20" s="287">
        <v>23</v>
      </c>
      <c r="I20" s="287">
        <v>0</v>
      </c>
      <c r="J20" s="287">
        <f t="shared" si="1"/>
        <v>23</v>
      </c>
      <c r="K20" s="161">
        <f t="shared" ref="K20" si="23">G20/H20*J20</f>
        <v>5000000</v>
      </c>
      <c r="L20" s="297"/>
      <c r="M20" s="162">
        <f t="shared" si="14"/>
        <v>5000000</v>
      </c>
      <c r="N20" s="172"/>
      <c r="O20" s="172"/>
      <c r="P20" s="159">
        <v>500000</v>
      </c>
      <c r="Q20" s="164">
        <f t="shared" si="2"/>
        <v>5500000</v>
      </c>
      <c r="R20" s="165">
        <f>(MIN(VALUE($G20),Assu!$E$3))*R$9</f>
        <v>400000</v>
      </c>
      <c r="S20" s="165">
        <f>(MIN(VALUE($G20),Assu!$E$3))*S$9</f>
        <v>75000</v>
      </c>
      <c r="T20" s="165">
        <f>(MIN(VALUE($G20),Assu!$E$5))*T$9</f>
        <v>50000</v>
      </c>
      <c r="U20" s="159">
        <f t="shared" ref="U20:U22" si="24">SUM(R20:T20)</f>
        <v>525000</v>
      </c>
      <c r="V20" s="159">
        <v>0</v>
      </c>
      <c r="W20" s="159">
        <f>V20*$W$9</f>
        <v>0</v>
      </c>
      <c r="X20" s="159">
        <f t="shared" ref="X20" si="25">IF(VALUE(Q20)=0,0,$X$9)</f>
        <v>11000000</v>
      </c>
      <c r="Y20" s="159">
        <f t="shared" ref="Y20" si="26">SUM(W20:X20)</f>
        <v>11000000</v>
      </c>
      <c r="Z20" s="159">
        <f t="shared" ref="Z20:Z32" si="27">IF((Q20-U20-Y20)&lt;0,0,(Q20-U20-Y20))</f>
        <v>0</v>
      </c>
      <c r="AA20" s="164">
        <f t="shared" ref="AA20:AA32" si="28">IF(AND(Z20&lt;10000000,Z20&gt;5000000),Z20*10%-250000,IF(AND(Z20&lt;18000000,Z20&gt;10000000),Z20*15%-750000,IF(AND(Z20&lt;32000000,Z20&gt;18000000),Z20*20%-1650000,IF(AND(Z20&lt;52000000,Z20&gt;32000000),Z20*25%-3250000,IF(AND(Z20&lt;80000000,Z20&gt;52000000),Z20*30%-5850000,IF(Z20&gt;80000000,Z20*35%-9850000,Z20*5%))))))</f>
        <v>0</v>
      </c>
      <c r="AB20" s="159"/>
      <c r="AC20" s="166"/>
      <c r="AD20" s="164">
        <f t="shared" si="6"/>
        <v>4975000</v>
      </c>
      <c r="AE20" s="165">
        <f>(MIN(VALUE($G20),Assu!$E$3))*AE$9</f>
        <v>1175000</v>
      </c>
      <c r="AF20" s="165">
        <f>(MIN(VALUE($G20),Assu!$E$3))*AF$9</f>
        <v>1699999.9999999998</v>
      </c>
      <c r="AG20" s="165">
        <f t="shared" ref="AG20" si="29">Q20*$AG$9/12</f>
        <v>458333.33333333331</v>
      </c>
      <c r="AH20" s="165">
        <f t="shared" ref="AH20" si="30">AA20</f>
        <v>0</v>
      </c>
      <c r="AI20" s="48"/>
      <c r="AJ20" s="48"/>
      <c r="AK20" s="48"/>
      <c r="AL20" s="48" t="s">
        <v>324</v>
      </c>
      <c r="AM20" s="48" t="s">
        <v>301</v>
      </c>
      <c r="AN20" s="123" t="s">
        <v>284</v>
      </c>
      <c r="AO20" s="123" t="s">
        <v>286</v>
      </c>
      <c r="AP20" s="168" t="s">
        <v>160</v>
      </c>
    </row>
    <row r="21" spans="1:46">
      <c r="A21" s="156">
        <v>12</v>
      </c>
      <c r="B21" s="157" t="s">
        <v>112</v>
      </c>
      <c r="C21" s="245" t="s">
        <v>165</v>
      </c>
      <c r="D21" s="152" t="s">
        <v>163</v>
      </c>
      <c r="E21" s="124">
        <v>42177</v>
      </c>
      <c r="F21" s="158" t="s">
        <v>113</v>
      </c>
      <c r="G21" s="238">
        <v>10500000</v>
      </c>
      <c r="H21" s="287">
        <v>23</v>
      </c>
      <c r="I21" s="287">
        <v>0</v>
      </c>
      <c r="J21" s="287">
        <f t="shared" si="1"/>
        <v>23</v>
      </c>
      <c r="K21" s="242">
        <f t="shared" si="0"/>
        <v>10500000</v>
      </c>
      <c r="L21" s="50">
        <v>700000</v>
      </c>
      <c r="M21" s="162">
        <f t="shared" si="14"/>
        <v>11200000</v>
      </c>
      <c r="N21" s="172"/>
      <c r="O21" s="50"/>
      <c r="P21" s="159"/>
      <c r="Q21" s="164">
        <f t="shared" si="2"/>
        <v>11200000</v>
      </c>
      <c r="R21" s="165">
        <f>(MIN(VALUE($G21),Assu!$E$3))*R$9</f>
        <v>840000</v>
      </c>
      <c r="S21" s="165">
        <f>(MIN(VALUE($G21),Assu!$E$3))*S$9</f>
        <v>157500</v>
      </c>
      <c r="T21" s="165">
        <f>(MIN(VALUE($G21),Assu!$E$5))*T$9</f>
        <v>105000</v>
      </c>
      <c r="U21" s="159">
        <f t="shared" si="24"/>
        <v>1102500</v>
      </c>
      <c r="V21" s="159">
        <v>0</v>
      </c>
      <c r="W21" s="159">
        <f t="shared" si="3"/>
        <v>0</v>
      </c>
      <c r="X21" s="159">
        <f t="shared" si="4"/>
        <v>11000000</v>
      </c>
      <c r="Y21" s="159">
        <f t="shared" si="5"/>
        <v>11000000</v>
      </c>
      <c r="Z21" s="159">
        <f t="shared" si="27"/>
        <v>0</v>
      </c>
      <c r="AA21" s="164">
        <f t="shared" si="28"/>
        <v>0</v>
      </c>
      <c r="AB21" s="235"/>
      <c r="AC21" s="166"/>
      <c r="AD21" s="164">
        <f t="shared" si="6"/>
        <v>10097500</v>
      </c>
      <c r="AE21" s="165">
        <f>(MIN(VALUE($G21),Assu!$E$3))*AE$9</f>
        <v>2467500</v>
      </c>
      <c r="AF21" s="165">
        <f>(MIN(VALUE($G21),Assu!$E$3))*AF$9</f>
        <v>3569999.9999999995</v>
      </c>
      <c r="AG21" s="165">
        <f t="shared" si="9"/>
        <v>933333.33333333337</v>
      </c>
      <c r="AH21" s="165">
        <f t="shared" si="7"/>
        <v>0</v>
      </c>
      <c r="AI21" s="48" t="s">
        <v>322</v>
      </c>
      <c r="AJ21" s="48"/>
      <c r="AK21" s="153"/>
      <c r="AL21" s="52"/>
      <c r="AM21" s="48" t="s">
        <v>301</v>
      </c>
      <c r="AN21" s="123" t="s">
        <v>221</v>
      </c>
      <c r="AO21" s="168" t="s">
        <v>141</v>
      </c>
      <c r="AP21" s="168" t="s">
        <v>160</v>
      </c>
      <c r="AT21" s="169"/>
    </row>
    <row r="22" spans="1:46">
      <c r="A22" s="156">
        <v>13</v>
      </c>
      <c r="B22" s="157" t="s">
        <v>118</v>
      </c>
      <c r="C22" s="245" t="s">
        <v>165</v>
      </c>
      <c r="D22" s="47" t="s">
        <v>192</v>
      </c>
      <c r="E22" s="124">
        <v>41974</v>
      </c>
      <c r="F22" s="247" t="s">
        <v>119</v>
      </c>
      <c r="G22" s="238">
        <v>14050000</v>
      </c>
      <c r="H22" s="287">
        <v>23</v>
      </c>
      <c r="I22" s="287">
        <v>0</v>
      </c>
      <c r="J22" s="287">
        <f t="shared" si="1"/>
        <v>23</v>
      </c>
      <c r="K22" s="161">
        <f>G22/H22*J22</f>
        <v>14050000.000000002</v>
      </c>
      <c r="L22" s="292">
        <v>1200000</v>
      </c>
      <c r="M22" s="162">
        <f>SUM(K22:L22)</f>
        <v>15250000.000000002</v>
      </c>
      <c r="N22" s="172"/>
      <c r="O22" s="50"/>
      <c r="P22" s="172"/>
      <c r="Q22" s="164">
        <f>SUM(M22:P22)</f>
        <v>15250000.000000002</v>
      </c>
      <c r="R22" s="165">
        <f>(MIN(VALUE($G22),Assu!$E$3))*R$9</f>
        <v>1124000</v>
      </c>
      <c r="S22" s="165">
        <f>(MIN(VALUE($G22),Assu!$E$3))*S$9</f>
        <v>210750</v>
      </c>
      <c r="T22" s="165">
        <f>(MIN(VALUE($G22),Assu!$E$5))*T$9</f>
        <v>140500</v>
      </c>
      <c r="U22" s="159">
        <f t="shared" si="24"/>
        <v>1475250</v>
      </c>
      <c r="V22" s="159">
        <v>0</v>
      </c>
      <c r="W22" s="159">
        <f>V22*$W$9</f>
        <v>0</v>
      </c>
      <c r="X22" s="159">
        <f>IF(VALUE(Q22)=0,0,$X$9)</f>
        <v>11000000</v>
      </c>
      <c r="Y22" s="159">
        <f>SUM(W22:X22)</f>
        <v>11000000</v>
      </c>
      <c r="Z22" s="159">
        <f>IF((Q22-U22-Y22)&lt;0,0,(Q22-U22-Y22))</f>
        <v>2774750.0000000019</v>
      </c>
      <c r="AA22" s="164">
        <f>IF(AND(Z22&lt;10000000,Z22&gt;5000000),Z22*10%-250000,IF(AND(Z22&lt;18000000,Z22&gt;10000000),Z22*15%-750000,IF(AND(Z22&lt;32000000,Z22&gt;18000000),Z22*20%-1650000,IF(AND(Z22&lt;52000000,Z22&gt;32000000),Z22*25%-3250000,IF(AND(Z22&lt;80000000,Z22&gt;52000000),Z22*30%-5850000,IF(Z22&gt;80000000,Z22*35%-9850000,Z22*5%))))))</f>
        <v>138737.50000000009</v>
      </c>
      <c r="AB22" s="159"/>
      <c r="AC22" s="166"/>
      <c r="AD22" s="164">
        <f t="shared" si="6"/>
        <v>13636012.500000002</v>
      </c>
      <c r="AE22" s="165">
        <f>(MIN(VALUE($G22),Assu!$E$3))*AE$9</f>
        <v>3301750</v>
      </c>
      <c r="AF22" s="165">
        <f>(MIN(VALUE($G22),Assu!$E$3))*AF$9</f>
        <v>4777000</v>
      </c>
      <c r="AG22" s="165">
        <f>Q22*$AG$9/12</f>
        <v>1270833.3333333335</v>
      </c>
      <c r="AH22" s="165">
        <f>AA22</f>
        <v>138737.50000000009</v>
      </c>
      <c r="AI22" s="48" t="s">
        <v>322</v>
      </c>
      <c r="AJ22" s="48"/>
      <c r="AK22" s="48"/>
      <c r="AL22" s="52"/>
      <c r="AM22" s="48" t="s">
        <v>301</v>
      </c>
      <c r="AN22" s="123" t="s">
        <v>228</v>
      </c>
      <c r="AO22" s="168" t="s">
        <v>141</v>
      </c>
      <c r="AP22" s="168" t="s">
        <v>160</v>
      </c>
    </row>
    <row r="23" spans="1:46">
      <c r="A23" s="156">
        <v>14</v>
      </c>
      <c r="B23" s="243" t="s">
        <v>291</v>
      </c>
      <c r="C23" s="245" t="s">
        <v>165</v>
      </c>
      <c r="D23" s="227" t="s">
        <v>197</v>
      </c>
      <c r="E23" s="124">
        <v>43804</v>
      </c>
      <c r="F23" s="246" t="s">
        <v>306</v>
      </c>
      <c r="G23" s="239">
        <v>6000000</v>
      </c>
      <c r="H23" s="287">
        <v>23</v>
      </c>
      <c r="I23" s="287">
        <v>0</v>
      </c>
      <c r="J23" s="287">
        <f t="shared" si="1"/>
        <v>23</v>
      </c>
      <c r="K23" s="161">
        <f t="shared" si="0"/>
        <v>6000000</v>
      </c>
      <c r="L23" s="50">
        <v>650000</v>
      </c>
      <c r="M23" s="162">
        <f>SUM(K23:L23)</f>
        <v>6650000</v>
      </c>
      <c r="N23" s="172"/>
      <c r="O23" s="50"/>
      <c r="P23" s="172"/>
      <c r="Q23" s="164">
        <f t="shared" si="2"/>
        <v>6650000</v>
      </c>
      <c r="R23" s="165">
        <f>(MIN(VALUE($G23),Assu!$E$3))*R$9</f>
        <v>480000</v>
      </c>
      <c r="S23" s="165">
        <f>(MIN(VALUE($G23),Assu!$E$3))*S$9</f>
        <v>90000</v>
      </c>
      <c r="T23" s="165">
        <f>(MIN(VALUE($G23),Assu!$E$5))*T$9</f>
        <v>60000</v>
      </c>
      <c r="U23" s="159">
        <f>SUM(R23:T23)</f>
        <v>630000</v>
      </c>
      <c r="V23" s="159">
        <v>0</v>
      </c>
      <c r="W23" s="159">
        <f t="shared" si="3"/>
        <v>0</v>
      </c>
      <c r="X23" s="159">
        <f t="shared" si="4"/>
        <v>11000000</v>
      </c>
      <c r="Y23" s="159">
        <f>SUM(W23:X23)</f>
        <v>11000000</v>
      </c>
      <c r="Z23" s="159">
        <f>IF((Q23-U23-Y23)&lt;0,0,(Q23-U23-Y23))</f>
        <v>0</v>
      </c>
      <c r="AA23" s="164">
        <f>IF(AND(Z23&lt;10000000,Z23&gt;5000000),Z23*10%-250000,IF(AND(Z23&lt;18000000,Z23&gt;10000000),Z23*15%-750000,IF(AND(Z23&lt;32000000,Z23&gt;18000000),Z23*20%-1650000,IF(AND(Z23&lt;52000000,Z23&gt;32000000),Z23*25%-3250000,IF(AND(Z23&lt;80000000,Z23&gt;52000000),Z23*30%-5850000,IF(Z23&gt;80000000,Z23*35%-9850000,Z23*5%))))))</f>
        <v>0</v>
      </c>
      <c r="AB23" s="159"/>
      <c r="AC23" s="166"/>
      <c r="AD23" s="164">
        <f t="shared" si="6"/>
        <v>6020000</v>
      </c>
      <c r="AE23" s="165">
        <f>(MIN(VALUE($G23),Assu!$E$3))*AE$9</f>
        <v>1410000</v>
      </c>
      <c r="AF23" s="165">
        <f>(MIN(VALUE($G23),Assu!$E$3))*AF$9</f>
        <v>2039999.9999999998</v>
      </c>
      <c r="AG23" s="165">
        <f t="shared" si="9"/>
        <v>554166.66666666663</v>
      </c>
      <c r="AH23" s="165">
        <f t="shared" si="7"/>
        <v>0</v>
      </c>
      <c r="AI23" s="48" t="s">
        <v>322</v>
      </c>
      <c r="AJ23" s="48"/>
      <c r="AK23" s="48"/>
      <c r="AL23" s="52"/>
      <c r="AM23" s="48" t="s">
        <v>301</v>
      </c>
      <c r="AN23" s="123" t="s">
        <v>292</v>
      </c>
      <c r="AO23" s="123" t="s">
        <v>293</v>
      </c>
      <c r="AP23" s="168" t="s">
        <v>160</v>
      </c>
    </row>
    <row r="24" spans="1:46" s="18" customFormat="1">
      <c r="A24" s="156">
        <v>15</v>
      </c>
      <c r="B24" s="288" t="s">
        <v>298</v>
      </c>
      <c r="C24" s="245" t="s">
        <v>165</v>
      </c>
      <c r="D24" s="296" t="s">
        <v>299</v>
      </c>
      <c r="E24" s="124">
        <v>41855</v>
      </c>
      <c r="F24" s="291" t="s">
        <v>300</v>
      </c>
      <c r="G24" s="292">
        <v>9080000</v>
      </c>
      <c r="H24" s="287">
        <v>23</v>
      </c>
      <c r="I24" s="287">
        <v>0</v>
      </c>
      <c r="J24" s="287">
        <f t="shared" si="1"/>
        <v>23</v>
      </c>
      <c r="K24" s="292">
        <f>G24/H24*J24</f>
        <v>9080000</v>
      </c>
      <c r="L24" s="50">
        <v>700000</v>
      </c>
      <c r="M24" s="293">
        <f t="shared" ref="M24:M25" si="31">SUM(K24:L24)</f>
        <v>9780000</v>
      </c>
      <c r="N24" s="172">
        <v>620730</v>
      </c>
      <c r="O24" s="50"/>
      <c r="P24" s="248">
        <v>2631000</v>
      </c>
      <c r="Q24" s="294">
        <f t="shared" si="2"/>
        <v>13031730</v>
      </c>
      <c r="R24" s="165">
        <f>(MIN(VALUE($G24),Assu!$E$3))*R$9</f>
        <v>726400</v>
      </c>
      <c r="S24" s="165">
        <f>(MIN(VALUE($G24),Assu!$E$3))*S$9</f>
        <v>136200</v>
      </c>
      <c r="T24" s="165">
        <f>(MIN(VALUE($G24),Assu!$E$5))*T$9</f>
        <v>90800</v>
      </c>
      <c r="U24" s="50">
        <f t="shared" ref="U24:U33" si="32">SUM(R24:T24)</f>
        <v>953400</v>
      </c>
      <c r="V24" s="50">
        <v>1</v>
      </c>
      <c r="W24" s="50">
        <f>V24*$W$9</f>
        <v>4400000</v>
      </c>
      <c r="X24" s="50">
        <f>IF(VALUE(Q24)=0,0,$X$9)</f>
        <v>11000000</v>
      </c>
      <c r="Y24" s="50">
        <f>SUM(W24:X24)</f>
        <v>15400000</v>
      </c>
      <c r="Z24" s="50">
        <f>IF((Q24-U24-Y24)&lt;0,0,(Q24-U24-Y24))</f>
        <v>0</v>
      </c>
      <c r="AA24" s="290">
        <f t="shared" ref="AA24:AA25" si="33">IF(AND(Z24&lt;10000000,Z24&gt;5000000),Z24*10%-250000,IF(AND(Z24&lt;18000000,Z24&gt;10000000),Z24*15%-750000,IF(AND(Z24&lt;32000000,Z24&gt;18000000),Z24*20%-1650000,IF(AND(Z24&lt;52000000,Z24&gt;32000000),Z24*25%-3250000,IF(AND(Z24&lt;80000000,Z24&gt;52000000),Z24*30%-5850000,IF(Z24&gt;80000000,Z24*35%-9850000,Z24*5%))))))</f>
        <v>0</v>
      </c>
      <c r="AB24" s="51">
        <v>0</v>
      </c>
      <c r="AC24" s="51">
        <v>0</v>
      </c>
      <c r="AD24" s="164">
        <f t="shared" si="6"/>
        <v>12078330</v>
      </c>
      <c r="AE24" s="165">
        <f>(MIN(VALUE($G24),Assu!$E$3))*AE$9</f>
        <v>2133800</v>
      </c>
      <c r="AF24" s="165">
        <f>(MIN(VALUE($G24),Assu!$E$3))*AF$9</f>
        <v>3087199.9999999995</v>
      </c>
      <c r="AG24" s="165">
        <f>Q24*$AG$9/12</f>
        <v>1085977.5</v>
      </c>
      <c r="AH24" s="295">
        <f>AA24</f>
        <v>0</v>
      </c>
      <c r="AI24" s="48" t="s">
        <v>322</v>
      </c>
      <c r="AJ24" s="48" t="s">
        <v>327</v>
      </c>
      <c r="AK24" s="48"/>
      <c r="AL24" s="48"/>
      <c r="AM24" s="48" t="s">
        <v>301</v>
      </c>
      <c r="AN24" s="48" t="s">
        <v>302</v>
      </c>
      <c r="AO24" s="48" t="s">
        <v>141</v>
      </c>
      <c r="AP24" s="48" t="s">
        <v>160</v>
      </c>
      <c r="AT24" s="23"/>
    </row>
    <row r="25" spans="1:46" s="18" customFormat="1">
      <c r="A25" s="156">
        <v>16</v>
      </c>
      <c r="B25" s="288" t="s">
        <v>303</v>
      </c>
      <c r="C25" s="245" t="s">
        <v>165</v>
      </c>
      <c r="D25" s="296" t="s">
        <v>299</v>
      </c>
      <c r="E25" s="124">
        <v>42254</v>
      </c>
      <c r="F25" s="291" t="s">
        <v>304</v>
      </c>
      <c r="G25" s="292">
        <v>7050000</v>
      </c>
      <c r="H25" s="287">
        <v>23</v>
      </c>
      <c r="I25" s="287">
        <v>0</v>
      </c>
      <c r="J25" s="287">
        <f t="shared" si="1"/>
        <v>23</v>
      </c>
      <c r="K25" s="292">
        <f>G25/H25*J25</f>
        <v>7049999.9999999991</v>
      </c>
      <c r="L25" s="50">
        <f>700000</f>
        <v>700000</v>
      </c>
      <c r="M25" s="293">
        <f t="shared" si="31"/>
        <v>7749999.9999999991</v>
      </c>
      <c r="N25" s="172">
        <v>641739</v>
      </c>
      <c r="O25" s="50"/>
      <c r="P25" s="248">
        <v>746000</v>
      </c>
      <c r="Q25" s="294">
        <f t="shared" si="2"/>
        <v>9137739</v>
      </c>
      <c r="R25" s="165">
        <f>(MIN(VALUE($G25),Assu!$E$3))*R$9</f>
        <v>564000</v>
      </c>
      <c r="S25" s="165">
        <f>(MIN(VALUE($G25),Assu!$E$3))*S$9</f>
        <v>105750</v>
      </c>
      <c r="T25" s="165">
        <f>(MIN(VALUE($G25),Assu!$E$5))*T$9</f>
        <v>70500</v>
      </c>
      <c r="U25" s="50">
        <f t="shared" si="32"/>
        <v>740250</v>
      </c>
      <c r="V25" s="50">
        <v>0</v>
      </c>
      <c r="W25" s="50">
        <f>V25*$W$9</f>
        <v>0</v>
      </c>
      <c r="X25" s="50">
        <f>IF(VALUE(Q25)=0,0,$X$9)</f>
        <v>11000000</v>
      </c>
      <c r="Y25" s="50">
        <f>SUM(W25:X25)</f>
        <v>11000000</v>
      </c>
      <c r="Z25" s="50">
        <f>IF((Q25-U25-Y25)&lt;0,0,(Q25-U25-Y25))</f>
        <v>0</v>
      </c>
      <c r="AA25" s="290">
        <f t="shared" si="33"/>
        <v>0</v>
      </c>
      <c r="AB25" s="51">
        <v>0</v>
      </c>
      <c r="AC25" s="51">
        <v>0</v>
      </c>
      <c r="AD25" s="164">
        <f t="shared" si="6"/>
        <v>8397489</v>
      </c>
      <c r="AE25" s="165">
        <f>(MIN(VALUE($G25),Assu!$E$3))*AE$9</f>
        <v>1656750</v>
      </c>
      <c r="AF25" s="165">
        <f>(MIN(VALUE($G25),Assu!$E$3))*AF$9</f>
        <v>2397000</v>
      </c>
      <c r="AG25" s="165">
        <f>Q25*$AG$9/12</f>
        <v>761478.25</v>
      </c>
      <c r="AH25" s="295">
        <f>AA25</f>
        <v>0</v>
      </c>
      <c r="AI25" s="48" t="s">
        <v>322</v>
      </c>
      <c r="AJ25" s="48" t="s">
        <v>327</v>
      </c>
      <c r="AK25" s="48"/>
      <c r="AL25" s="48"/>
      <c r="AM25" s="48" t="s">
        <v>301</v>
      </c>
      <c r="AN25" s="48" t="s">
        <v>305</v>
      </c>
      <c r="AO25" s="48" t="s">
        <v>141</v>
      </c>
      <c r="AP25" s="48" t="s">
        <v>160</v>
      </c>
      <c r="AT25" s="23"/>
    </row>
    <row r="26" spans="1:46">
      <c r="A26" s="156">
        <v>17</v>
      </c>
      <c r="B26" s="243" t="s">
        <v>199</v>
      </c>
      <c r="C26" s="245" t="s">
        <v>165</v>
      </c>
      <c r="D26" s="227" t="s">
        <v>197</v>
      </c>
      <c r="E26" s="124">
        <v>43133</v>
      </c>
      <c r="F26" s="236" t="s">
        <v>198</v>
      </c>
      <c r="G26" s="239">
        <v>8850000</v>
      </c>
      <c r="H26" s="287">
        <v>23</v>
      </c>
      <c r="I26" s="287">
        <v>0</v>
      </c>
      <c r="J26" s="287">
        <f t="shared" si="1"/>
        <v>23</v>
      </c>
      <c r="K26" s="242">
        <f>G26/H26*J26</f>
        <v>8850000</v>
      </c>
      <c r="L26" s="292">
        <f>800000+1200000+2000000</f>
        <v>4000000</v>
      </c>
      <c r="M26" s="162">
        <f t="shared" si="8"/>
        <v>12850000</v>
      </c>
      <c r="N26" s="172"/>
      <c r="O26" s="248"/>
      <c r="P26" s="172"/>
      <c r="Q26" s="164">
        <f t="shared" si="2"/>
        <v>12850000</v>
      </c>
      <c r="R26" s="165">
        <f>(MIN(VALUE($G26),Assu!$E$3))*R$9</f>
        <v>708000</v>
      </c>
      <c r="S26" s="165">
        <f>(MIN(VALUE($G26),Assu!$E$3))*S$9</f>
        <v>132750</v>
      </c>
      <c r="T26" s="165">
        <f>(MIN(VALUE($G26),Assu!$E$5))*T$9</f>
        <v>88500</v>
      </c>
      <c r="U26" s="50">
        <f t="shared" si="32"/>
        <v>929250</v>
      </c>
      <c r="V26" s="159">
        <v>0</v>
      </c>
      <c r="W26" s="159">
        <f>V26*$W$9</f>
        <v>0</v>
      </c>
      <c r="X26" s="159">
        <f>IF(VALUE(Q26)=0,0,$X$9)</f>
        <v>11000000</v>
      </c>
      <c r="Y26" s="159">
        <f t="shared" si="5"/>
        <v>11000000</v>
      </c>
      <c r="Z26" s="159">
        <f t="shared" si="27"/>
        <v>920750</v>
      </c>
      <c r="AA26" s="164">
        <f t="shared" si="28"/>
        <v>46037.5</v>
      </c>
      <c r="AB26" s="159"/>
      <c r="AC26" s="166"/>
      <c r="AD26" s="164">
        <f t="shared" si="6"/>
        <v>11874712.5</v>
      </c>
      <c r="AE26" s="165">
        <f>(MIN(VALUE($G26),Assu!$E$3))*AE$9</f>
        <v>2079749.9999999998</v>
      </c>
      <c r="AF26" s="165">
        <f>(MIN(VALUE($G26),Assu!$E$3))*AF$9</f>
        <v>3008999.9999999995</v>
      </c>
      <c r="AG26" s="165">
        <f t="shared" si="9"/>
        <v>1070833.3333333333</v>
      </c>
      <c r="AH26" s="165">
        <f>AA26</f>
        <v>46037.5</v>
      </c>
      <c r="AI26" s="48" t="s">
        <v>322</v>
      </c>
      <c r="AJ26" s="48"/>
      <c r="AK26" s="48" t="s">
        <v>325</v>
      </c>
      <c r="AL26" s="52"/>
      <c r="AM26" s="48" t="s">
        <v>301</v>
      </c>
      <c r="AN26" s="123" t="s">
        <v>222</v>
      </c>
      <c r="AO26" s="168" t="s">
        <v>200</v>
      </c>
      <c r="AP26" s="168" t="s">
        <v>160</v>
      </c>
    </row>
    <row r="27" spans="1:46">
      <c r="A27" s="156">
        <v>18</v>
      </c>
      <c r="B27" s="243" t="s">
        <v>211</v>
      </c>
      <c r="C27" s="245" t="s">
        <v>165</v>
      </c>
      <c r="D27" s="227" t="s">
        <v>197</v>
      </c>
      <c r="E27" s="124">
        <v>43374</v>
      </c>
      <c r="F27" s="246" t="s">
        <v>212</v>
      </c>
      <c r="G27" s="239">
        <v>7400000</v>
      </c>
      <c r="H27" s="287">
        <v>23</v>
      </c>
      <c r="I27" s="287">
        <v>0</v>
      </c>
      <c r="J27" s="287">
        <f t="shared" si="1"/>
        <v>23</v>
      </c>
      <c r="K27" s="161">
        <f t="shared" si="0"/>
        <v>7400000</v>
      </c>
      <c r="L27" s="292">
        <f>1800000+1200000</f>
        <v>3000000</v>
      </c>
      <c r="M27" s="162">
        <f t="shared" si="8"/>
        <v>10400000</v>
      </c>
      <c r="N27" s="172"/>
      <c r="O27" s="248">
        <v>8539519</v>
      </c>
      <c r="P27" s="172"/>
      <c r="Q27" s="164">
        <f t="shared" si="2"/>
        <v>18939519</v>
      </c>
      <c r="R27" s="165">
        <f>(MIN(VALUE($G27),Assu!$E$3))*R$9</f>
        <v>592000</v>
      </c>
      <c r="S27" s="165">
        <f>(MIN(VALUE($G27),Assu!$E$3))*S$9</f>
        <v>111000</v>
      </c>
      <c r="T27" s="165">
        <f>(MIN(VALUE($G27),Assu!$E$5))*T$9</f>
        <v>74000</v>
      </c>
      <c r="U27" s="50">
        <f t="shared" si="32"/>
        <v>777000</v>
      </c>
      <c r="V27" s="159">
        <v>1</v>
      </c>
      <c r="W27" s="159">
        <f t="shared" si="3"/>
        <v>4400000</v>
      </c>
      <c r="X27" s="159">
        <f t="shared" si="4"/>
        <v>11000000</v>
      </c>
      <c r="Y27" s="159">
        <f t="shared" si="5"/>
        <v>15400000</v>
      </c>
      <c r="Z27" s="159">
        <f t="shared" si="27"/>
        <v>2762519</v>
      </c>
      <c r="AA27" s="164">
        <f t="shared" si="28"/>
        <v>138125.95000000001</v>
      </c>
      <c r="AB27" s="159"/>
      <c r="AC27" s="166"/>
      <c r="AD27" s="164">
        <f t="shared" si="6"/>
        <v>18024393.050000001</v>
      </c>
      <c r="AE27" s="165">
        <f>(MIN(VALUE($G27),Assu!$E$3))*AE$9</f>
        <v>1739000</v>
      </c>
      <c r="AF27" s="165">
        <f>(MIN(VALUE($G27),Assu!$E$3))*AF$9</f>
        <v>2516000</v>
      </c>
      <c r="AG27" s="165">
        <f t="shared" si="9"/>
        <v>1578293.25</v>
      </c>
      <c r="AH27" s="165">
        <f t="shared" si="7"/>
        <v>138125.95000000001</v>
      </c>
      <c r="AI27" s="48" t="s">
        <v>322</v>
      </c>
      <c r="AJ27" s="48"/>
      <c r="AK27" s="48" t="s">
        <v>326</v>
      </c>
      <c r="AL27" s="52"/>
      <c r="AM27" s="48" t="s">
        <v>301</v>
      </c>
      <c r="AN27" s="123" t="s">
        <v>213</v>
      </c>
      <c r="AO27" s="123" t="s">
        <v>214</v>
      </c>
      <c r="AP27" s="168" t="s">
        <v>160</v>
      </c>
    </row>
    <row r="28" spans="1:46">
      <c r="A28" s="156">
        <v>19</v>
      </c>
      <c r="B28" s="243" t="s">
        <v>287</v>
      </c>
      <c r="C28" s="245" t="s">
        <v>165</v>
      </c>
      <c r="D28" s="227" t="s">
        <v>197</v>
      </c>
      <c r="E28" s="124">
        <v>43725</v>
      </c>
      <c r="F28" s="246" t="s">
        <v>290</v>
      </c>
      <c r="G28" s="239">
        <v>6000000</v>
      </c>
      <c r="H28" s="287">
        <v>23</v>
      </c>
      <c r="I28" s="287">
        <v>0</v>
      </c>
      <c r="J28" s="287">
        <f t="shared" si="1"/>
        <v>23</v>
      </c>
      <c r="K28" s="161">
        <f t="shared" si="0"/>
        <v>6000000</v>
      </c>
      <c r="L28" s="50">
        <f>650000+750000</f>
        <v>1400000</v>
      </c>
      <c r="M28" s="162">
        <f t="shared" si="8"/>
        <v>7400000</v>
      </c>
      <c r="N28" s="172"/>
      <c r="O28" s="248"/>
      <c r="P28" s="172"/>
      <c r="Q28" s="164">
        <f t="shared" si="2"/>
        <v>7400000</v>
      </c>
      <c r="R28" s="165">
        <f>(MIN(VALUE($G28),Assu!$E$3))*R$9</f>
        <v>480000</v>
      </c>
      <c r="S28" s="165">
        <f>(MIN(VALUE($G28),Assu!$E$3))*S$9</f>
        <v>90000</v>
      </c>
      <c r="T28" s="165">
        <f>(MIN(VALUE($G28),Assu!$E$5))*T$9</f>
        <v>60000</v>
      </c>
      <c r="U28" s="50">
        <f t="shared" si="32"/>
        <v>630000</v>
      </c>
      <c r="V28" s="159">
        <v>1</v>
      </c>
      <c r="W28" s="159">
        <f t="shared" si="3"/>
        <v>4400000</v>
      </c>
      <c r="X28" s="159">
        <f t="shared" si="4"/>
        <v>11000000</v>
      </c>
      <c r="Y28" s="159">
        <f t="shared" si="5"/>
        <v>15400000</v>
      </c>
      <c r="Z28" s="159">
        <f t="shared" si="27"/>
        <v>0</v>
      </c>
      <c r="AA28" s="164">
        <f t="shared" si="28"/>
        <v>0</v>
      </c>
      <c r="AB28" s="159"/>
      <c r="AC28" s="166"/>
      <c r="AD28" s="164">
        <f t="shared" si="6"/>
        <v>6770000</v>
      </c>
      <c r="AE28" s="165">
        <f>(MIN(VALUE($G28),Assu!$E$3))*AE$9</f>
        <v>1410000</v>
      </c>
      <c r="AF28" s="165">
        <f>(MIN(VALUE($G28),Assu!$E$3))*AF$9</f>
        <v>2039999.9999999998</v>
      </c>
      <c r="AG28" s="165">
        <f t="shared" si="9"/>
        <v>616666.66666666663</v>
      </c>
      <c r="AH28" s="165">
        <f t="shared" si="7"/>
        <v>0</v>
      </c>
      <c r="AI28" s="48" t="s">
        <v>322</v>
      </c>
      <c r="AJ28" s="48"/>
      <c r="AK28" s="48" t="s">
        <v>325</v>
      </c>
      <c r="AL28" s="52"/>
      <c r="AM28" s="48" t="s">
        <v>301</v>
      </c>
      <c r="AN28" s="123" t="s">
        <v>289</v>
      </c>
      <c r="AO28" s="123" t="s">
        <v>288</v>
      </c>
      <c r="AP28" s="168" t="s">
        <v>160</v>
      </c>
    </row>
    <row r="29" spans="1:46">
      <c r="A29" s="156">
        <v>20</v>
      </c>
      <c r="B29" s="243" t="s">
        <v>317</v>
      </c>
      <c r="C29" s="245" t="s">
        <v>165</v>
      </c>
      <c r="D29" s="227" t="s">
        <v>197</v>
      </c>
      <c r="E29" s="124">
        <v>44074</v>
      </c>
      <c r="F29" s="246" t="s">
        <v>321</v>
      </c>
      <c r="G29" s="239">
        <v>7000000</v>
      </c>
      <c r="H29" s="287">
        <v>23</v>
      </c>
      <c r="I29" s="287">
        <v>0</v>
      </c>
      <c r="J29" s="287">
        <f t="shared" si="1"/>
        <v>23</v>
      </c>
      <c r="K29" s="161">
        <f t="shared" si="0"/>
        <v>7000000</v>
      </c>
      <c r="L29" s="50">
        <f>1800000</f>
        <v>1800000</v>
      </c>
      <c r="M29" s="162">
        <f t="shared" si="8"/>
        <v>8800000</v>
      </c>
      <c r="N29" s="172"/>
      <c r="O29" s="248">
        <v>9620000</v>
      </c>
      <c r="P29" s="172"/>
      <c r="Q29" s="164">
        <f t="shared" si="2"/>
        <v>18420000</v>
      </c>
      <c r="R29" s="165">
        <f>(MIN(VALUE($G29),Assu!$E$3))*R$9</f>
        <v>560000</v>
      </c>
      <c r="S29" s="165">
        <f>(MIN(VALUE($G29),Assu!$E$3))*S$9</f>
        <v>105000</v>
      </c>
      <c r="T29" s="165">
        <f>(MIN(VALUE($G29),Assu!$E$5))*T$9</f>
        <v>70000</v>
      </c>
      <c r="U29" s="50">
        <f t="shared" si="32"/>
        <v>735000</v>
      </c>
      <c r="V29" s="159">
        <v>0</v>
      </c>
      <c r="W29" s="159">
        <f t="shared" si="3"/>
        <v>0</v>
      </c>
      <c r="X29" s="159">
        <f t="shared" si="4"/>
        <v>11000000</v>
      </c>
      <c r="Y29" s="159">
        <f t="shared" si="5"/>
        <v>11000000</v>
      </c>
      <c r="Z29" s="159">
        <f t="shared" si="27"/>
        <v>6685000</v>
      </c>
      <c r="AA29" s="164">
        <f t="shared" si="28"/>
        <v>418500</v>
      </c>
      <c r="AB29" s="159"/>
      <c r="AC29" s="166"/>
      <c r="AD29" s="164">
        <f t="shared" si="6"/>
        <v>17266500</v>
      </c>
      <c r="AE29" s="165">
        <f>(MIN(VALUE($G29),Assu!$E$3))*AE$9</f>
        <v>1645000</v>
      </c>
      <c r="AF29" s="165">
        <f>(MIN(VALUE($G29),Assu!$E$3))*AF$9</f>
        <v>2380000</v>
      </c>
      <c r="AG29" s="165">
        <f t="shared" si="9"/>
        <v>1535000</v>
      </c>
      <c r="AH29" s="165">
        <f t="shared" si="7"/>
        <v>418500</v>
      </c>
      <c r="AI29" s="48" t="s">
        <v>322</v>
      </c>
      <c r="AJ29" s="48"/>
      <c r="AK29" s="48" t="s">
        <v>326</v>
      </c>
      <c r="AL29" s="52"/>
      <c r="AM29" s="48" t="s">
        <v>301</v>
      </c>
      <c r="AN29" s="123" t="s">
        <v>318</v>
      </c>
      <c r="AO29" s="123" t="s">
        <v>319</v>
      </c>
      <c r="AP29" s="168" t="s">
        <v>160</v>
      </c>
    </row>
    <row r="30" spans="1:46">
      <c r="A30" s="156">
        <v>21</v>
      </c>
      <c r="B30" s="243"/>
      <c r="C30" s="47"/>
      <c r="D30" s="47"/>
      <c r="E30" s="124"/>
      <c r="F30" s="171"/>
      <c r="G30" s="239">
        <v>0</v>
      </c>
      <c r="H30" s="287">
        <v>23</v>
      </c>
      <c r="I30" s="287">
        <v>0</v>
      </c>
      <c r="J30" s="287">
        <f t="shared" si="1"/>
        <v>23</v>
      </c>
      <c r="K30" s="161">
        <f t="shared" si="0"/>
        <v>0</v>
      </c>
      <c r="L30" s="161"/>
      <c r="M30" s="162">
        <f t="shared" si="8"/>
        <v>0</v>
      </c>
      <c r="N30" s="159"/>
      <c r="O30" s="50"/>
      <c r="P30" s="172"/>
      <c r="Q30" s="164">
        <f t="shared" si="2"/>
        <v>0</v>
      </c>
      <c r="R30" s="165">
        <f>(MIN(VALUE($G30),Assu!$E$3))*R$9</f>
        <v>0</v>
      </c>
      <c r="S30" s="165">
        <f>(MIN(VALUE($G30),Assu!$E$3))*S$9</f>
        <v>0</v>
      </c>
      <c r="T30" s="165">
        <f>(MIN(VALUE($G30),Assu!$E$5))*T$9</f>
        <v>0</v>
      </c>
      <c r="U30" s="50">
        <f t="shared" si="32"/>
        <v>0</v>
      </c>
      <c r="V30" s="159">
        <v>0</v>
      </c>
      <c r="W30" s="159">
        <f t="shared" si="3"/>
        <v>0</v>
      </c>
      <c r="X30" s="159">
        <f>IF(VALUE(Q30)=0,0,$X$9)</f>
        <v>0</v>
      </c>
      <c r="Y30" s="159">
        <f t="shared" si="5"/>
        <v>0</v>
      </c>
      <c r="Z30" s="159">
        <f t="shared" si="27"/>
        <v>0</v>
      </c>
      <c r="AA30" s="164">
        <f t="shared" si="28"/>
        <v>0</v>
      </c>
      <c r="AB30" s="159"/>
      <c r="AC30" s="166"/>
      <c r="AD30" s="164">
        <f t="shared" si="6"/>
        <v>0</v>
      </c>
      <c r="AE30" s="165">
        <f>(MIN(VALUE($G30),Assu!$E$3))*AE$9</f>
        <v>0</v>
      </c>
      <c r="AF30" s="165">
        <f>(MIN(VALUE($G30),Assu!$E$3))*AF$9</f>
        <v>0</v>
      </c>
      <c r="AG30" s="165"/>
      <c r="AH30" s="165">
        <f t="shared" si="7"/>
        <v>0</v>
      </c>
      <c r="AI30" s="48"/>
      <c r="AJ30" s="48"/>
      <c r="AK30" s="48"/>
      <c r="AL30" s="52"/>
      <c r="AM30" s="52"/>
      <c r="AN30" s="123"/>
      <c r="AO30" s="123"/>
      <c r="AP30" s="168"/>
    </row>
    <row r="31" spans="1:46">
      <c r="A31" s="156">
        <v>22</v>
      </c>
      <c r="B31" s="157"/>
      <c r="C31" s="47"/>
      <c r="D31" s="47"/>
      <c r="E31" s="124"/>
      <c r="F31" s="247"/>
      <c r="G31" s="239">
        <v>0</v>
      </c>
      <c r="H31" s="287">
        <v>23</v>
      </c>
      <c r="I31" s="287">
        <v>0</v>
      </c>
      <c r="J31" s="287">
        <f t="shared" si="1"/>
        <v>23</v>
      </c>
      <c r="K31" s="161">
        <f t="shared" si="0"/>
        <v>0</v>
      </c>
      <c r="L31" s="161"/>
      <c r="M31" s="162">
        <f t="shared" si="8"/>
        <v>0</v>
      </c>
      <c r="N31" s="159"/>
      <c r="O31" s="50"/>
      <c r="P31" s="172"/>
      <c r="Q31" s="164">
        <f t="shared" si="2"/>
        <v>0</v>
      </c>
      <c r="R31" s="165">
        <f>(MIN(VALUE($G31),Assu!$E$3))*R$9</f>
        <v>0</v>
      </c>
      <c r="S31" s="165">
        <f>(MIN(VALUE($G31),Assu!$E$3))*S$9</f>
        <v>0</v>
      </c>
      <c r="T31" s="165">
        <f>(MIN(VALUE($G31),Assu!$E$5))*T$9</f>
        <v>0</v>
      </c>
      <c r="U31" s="159">
        <f t="shared" si="32"/>
        <v>0</v>
      </c>
      <c r="V31" s="159">
        <v>0</v>
      </c>
      <c r="W31" s="159">
        <f t="shared" si="3"/>
        <v>0</v>
      </c>
      <c r="X31" s="159">
        <f t="shared" ref="X31:X33" si="34">IF(VALUE(Q31)=0,0,$X$9)</f>
        <v>0</v>
      </c>
      <c r="Y31" s="159">
        <f t="shared" si="5"/>
        <v>0</v>
      </c>
      <c r="Z31" s="159">
        <f t="shared" si="27"/>
        <v>0</v>
      </c>
      <c r="AA31" s="164">
        <f t="shared" si="28"/>
        <v>0</v>
      </c>
      <c r="AB31" s="159"/>
      <c r="AC31" s="166"/>
      <c r="AD31" s="164">
        <f t="shared" si="6"/>
        <v>0</v>
      </c>
      <c r="AE31" s="165">
        <f>(MIN(VALUE($G31),Assu!$E$3))*AE$9</f>
        <v>0</v>
      </c>
      <c r="AF31" s="165">
        <f>(MIN(VALUE($G31),Assu!$E$3))*AF$9</f>
        <v>0</v>
      </c>
      <c r="AG31" s="165"/>
      <c r="AH31" s="165">
        <f t="shared" si="7"/>
        <v>0</v>
      </c>
      <c r="AI31" s="48"/>
      <c r="AJ31" s="48"/>
      <c r="AK31" s="48"/>
      <c r="AL31" s="167"/>
      <c r="AM31" s="167"/>
      <c r="AN31" s="123"/>
      <c r="AO31" s="168"/>
      <c r="AP31" s="168"/>
    </row>
    <row r="32" spans="1:46">
      <c r="A32" s="156">
        <v>23</v>
      </c>
      <c r="B32" s="157"/>
      <c r="C32" s="47"/>
      <c r="D32" s="47"/>
      <c r="E32" s="152"/>
      <c r="F32" s="171"/>
      <c r="G32" s="239">
        <v>0</v>
      </c>
      <c r="H32" s="287">
        <v>23</v>
      </c>
      <c r="I32" s="287">
        <v>0</v>
      </c>
      <c r="J32" s="287">
        <f t="shared" si="1"/>
        <v>23</v>
      </c>
      <c r="K32" s="161"/>
      <c r="L32" s="161"/>
      <c r="M32" s="162">
        <f t="shared" si="8"/>
        <v>0</v>
      </c>
      <c r="N32" s="159"/>
      <c r="O32" s="50"/>
      <c r="P32" s="172"/>
      <c r="Q32" s="164">
        <f t="shared" ref="Q32:Q34" si="35">SUM(M32:P32)</f>
        <v>0</v>
      </c>
      <c r="R32" s="165">
        <f>(MIN(VALUE($G32),Assu!$E$3))*R$9</f>
        <v>0</v>
      </c>
      <c r="S32" s="165">
        <f>(MIN(VALUE($G32),Assu!$E$3))*S$9</f>
        <v>0</v>
      </c>
      <c r="T32" s="165">
        <f>(MIN(VALUE($G32),Assu!$E$5))*T$9</f>
        <v>0</v>
      </c>
      <c r="U32" s="159">
        <f t="shared" si="32"/>
        <v>0</v>
      </c>
      <c r="V32" s="159">
        <v>0</v>
      </c>
      <c r="W32" s="159">
        <f t="shared" si="3"/>
        <v>0</v>
      </c>
      <c r="X32" s="159">
        <f t="shared" si="34"/>
        <v>0</v>
      </c>
      <c r="Y32" s="159">
        <f t="shared" si="5"/>
        <v>0</v>
      </c>
      <c r="Z32" s="159">
        <f t="shared" si="27"/>
        <v>0</v>
      </c>
      <c r="AA32" s="164">
        <f t="shared" si="28"/>
        <v>0</v>
      </c>
      <c r="AB32" s="159"/>
      <c r="AC32" s="166"/>
      <c r="AD32" s="164">
        <f t="shared" si="6"/>
        <v>0</v>
      </c>
      <c r="AE32" s="165">
        <f>(MIN(VALUE($G32),Assu!$E$3))*AE$9</f>
        <v>0</v>
      </c>
      <c r="AF32" s="165">
        <f>(MIN(VALUE($G32),Assu!$E$3))*AF$9</f>
        <v>0</v>
      </c>
      <c r="AG32" s="165"/>
      <c r="AH32" s="165"/>
      <c r="AI32" s="48"/>
      <c r="AJ32" s="153"/>
      <c r="AK32" s="153"/>
      <c r="AL32" s="167"/>
      <c r="AM32" s="167"/>
      <c r="AN32" s="168"/>
      <c r="AO32" s="168"/>
      <c r="AP32" s="168"/>
    </row>
    <row r="33" spans="1:42">
      <c r="A33" s="156">
        <v>24</v>
      </c>
      <c r="B33" s="120"/>
      <c r="C33" s="152"/>
      <c r="D33" s="152"/>
      <c r="E33" s="152"/>
      <c r="F33" s="171"/>
      <c r="G33" s="239"/>
      <c r="H33" s="287">
        <v>23</v>
      </c>
      <c r="I33" s="287">
        <v>0</v>
      </c>
      <c r="J33" s="287">
        <f t="shared" si="1"/>
        <v>23</v>
      </c>
      <c r="K33" s="161">
        <f t="shared" ref="K33" si="36">G33/H33*J33</f>
        <v>0</v>
      </c>
      <c r="L33" s="51"/>
      <c r="M33" s="162">
        <f t="shared" si="8"/>
        <v>0</v>
      </c>
      <c r="N33" s="159"/>
      <c r="O33" s="50"/>
      <c r="P33" s="172"/>
      <c r="Q33" s="164">
        <f t="shared" si="35"/>
        <v>0</v>
      </c>
      <c r="R33" s="165">
        <f>(MIN(VALUE($G33),Assu!$E$3))*R$9</f>
        <v>0</v>
      </c>
      <c r="S33" s="165">
        <f>(MIN(VALUE($G33),Assu!$E$3))*S$9</f>
        <v>0</v>
      </c>
      <c r="T33" s="165">
        <f>(MIN(VALUE($G33),Assu!$E$5))*T$9</f>
        <v>0</v>
      </c>
      <c r="U33" s="159">
        <f t="shared" si="32"/>
        <v>0</v>
      </c>
      <c r="V33" s="159">
        <v>0</v>
      </c>
      <c r="W33" s="159">
        <f t="shared" si="3"/>
        <v>0</v>
      </c>
      <c r="X33" s="159">
        <f t="shared" si="34"/>
        <v>0</v>
      </c>
      <c r="Y33" s="159">
        <f t="shared" si="5"/>
        <v>0</v>
      </c>
      <c r="Z33" s="159">
        <f>IF((Q33-U33-Y33)&lt;0,0,(Q33-U33-Y33))</f>
        <v>0</v>
      </c>
      <c r="AA33" s="164">
        <f>IF(AND(Z33&lt;10000000,Z33&gt;5000000),Z33*10%-250000,IF(AND(Z33&lt;18000000,Z33&gt;10000000),Z33*15%-750000,IF(AND(Z33&lt;32000000,Z33&gt;18000000),Z33*20%-1650000,IF(AND(Z33&lt;52000000,Z33&gt;32000000),Z33*25%-3250000,IF(AND(Z33&lt;80000000,Z33&gt;52000000),Z33*30%-5850000,IF(Z33&gt;80000000,Z33*35%-9850000,Z33*5%))))))</f>
        <v>0</v>
      </c>
      <c r="AB33" s="159"/>
      <c r="AC33" s="166"/>
      <c r="AD33" s="164">
        <f t="shared" si="6"/>
        <v>0</v>
      </c>
      <c r="AE33" s="165">
        <f>(MIN(VALUE($G33),Assu!$E$3))*AE$9</f>
        <v>0</v>
      </c>
      <c r="AF33" s="165">
        <f>(MIN(VALUE($G33),Assu!$E$3))*AF$9</f>
        <v>0</v>
      </c>
      <c r="AG33" s="165">
        <f t="shared" ref="AG33" si="37">Q33*$AG$9/12</f>
        <v>0</v>
      </c>
      <c r="AH33" s="165">
        <f t="shared" ref="AH33" si="38">AA33</f>
        <v>0</v>
      </c>
      <c r="AI33" s="48"/>
      <c r="AJ33" s="48"/>
      <c r="AK33" s="48"/>
      <c r="AL33" s="52"/>
      <c r="AM33" s="52"/>
      <c r="AN33" s="123"/>
      <c r="AO33" s="168"/>
      <c r="AP33" s="168"/>
    </row>
    <row r="34" spans="1:42">
      <c r="A34" s="156"/>
      <c r="B34" s="157"/>
      <c r="C34" s="152"/>
      <c r="D34" s="152"/>
      <c r="E34" s="152"/>
      <c r="F34" s="171"/>
      <c r="G34" s="239"/>
      <c r="H34" s="160"/>
      <c r="I34" s="160"/>
      <c r="J34" s="160"/>
      <c r="K34" s="161"/>
      <c r="L34" s="161"/>
      <c r="M34" s="180"/>
      <c r="N34" s="159"/>
      <c r="O34" s="163"/>
      <c r="P34" s="172"/>
      <c r="Q34" s="164">
        <f t="shared" si="35"/>
        <v>0</v>
      </c>
      <c r="R34" s="165">
        <f>(MIN(VALUE($G34),Assu!$E$3))*R$9</f>
        <v>0</v>
      </c>
      <c r="S34" s="165">
        <f>(MIN(VALUE($G34),Assu!$E$3))*S$9</f>
        <v>0</v>
      </c>
      <c r="T34" s="165">
        <f>(MIN(VALUE($G34),Assu!$E$5))*T$9</f>
        <v>0</v>
      </c>
      <c r="U34" s="159"/>
      <c r="V34" s="159"/>
      <c r="W34" s="159"/>
      <c r="X34" s="159"/>
      <c r="Y34" s="159"/>
      <c r="Z34" s="159"/>
      <c r="AA34" s="159"/>
      <c r="AB34" s="159"/>
      <c r="AC34" s="166"/>
      <c r="AD34" s="164">
        <f t="shared" si="6"/>
        <v>0</v>
      </c>
      <c r="AE34" s="165">
        <f>(MIN(VALUE($G34),Assu!$E$3))*AE$9</f>
        <v>0</v>
      </c>
      <c r="AF34" s="165">
        <f>(MIN(VALUE($G34),Assu!$E$3))*AF$9</f>
        <v>0</v>
      </c>
      <c r="AG34" s="165">
        <f t="shared" si="9"/>
        <v>0</v>
      </c>
      <c r="AH34" s="165"/>
      <c r="AI34" s="153"/>
      <c r="AJ34" s="153"/>
      <c r="AK34" s="153"/>
      <c r="AL34" s="167"/>
      <c r="AM34" s="167"/>
      <c r="AN34" s="168"/>
      <c r="AO34" s="168"/>
      <c r="AP34" s="168"/>
    </row>
    <row r="35" spans="1:42" s="176" customFormat="1">
      <c r="A35" s="177"/>
      <c r="B35" s="178"/>
      <c r="C35" s="153"/>
      <c r="D35" s="153"/>
      <c r="E35" s="153"/>
      <c r="F35" s="158"/>
      <c r="G35" s="179"/>
      <c r="H35" s="178"/>
      <c r="I35" s="178"/>
      <c r="J35" s="178"/>
      <c r="K35" s="180"/>
      <c r="L35" s="180"/>
      <c r="M35" s="180"/>
      <c r="N35" s="181"/>
      <c r="O35" s="178"/>
      <c r="P35" s="178"/>
      <c r="Q35" s="180"/>
      <c r="R35" s="165">
        <f>(MIN(VALUE($G35),Assu!$E$3))*R$9</f>
        <v>0</v>
      </c>
      <c r="S35" s="165">
        <f>(MIN(VALUE($G35),Assu!$E$3))*S$9</f>
        <v>0</v>
      </c>
      <c r="T35" s="165">
        <f>(MIN(VALUE($G35),Assu!$E$5))*T$9</f>
        <v>0</v>
      </c>
      <c r="U35" s="178"/>
      <c r="V35" s="182"/>
      <c r="W35" s="179"/>
      <c r="X35" s="179"/>
      <c r="Y35" s="179"/>
      <c r="Z35" s="178"/>
      <c r="AA35" s="178"/>
      <c r="AB35" s="181"/>
      <c r="AC35" s="181"/>
      <c r="AD35" s="182"/>
      <c r="AE35" s="165">
        <f>(MIN(VALUE($G35),Assu!$E$3))*AE$9</f>
        <v>0</v>
      </c>
      <c r="AF35" s="165">
        <f>(MIN(VALUE($G35),Assu!$E$3))*AF$9</f>
        <v>0</v>
      </c>
      <c r="AG35" s="182"/>
      <c r="AH35" s="182"/>
      <c r="AI35" s="153"/>
      <c r="AJ35" s="158"/>
      <c r="AK35" s="153"/>
      <c r="AL35" s="153"/>
      <c r="AM35" s="153"/>
      <c r="AN35" s="153"/>
      <c r="AO35" s="153"/>
      <c r="AP35" s="153"/>
    </row>
    <row r="36" spans="1:42" s="188" customFormat="1">
      <c r="A36" s="183"/>
      <c r="B36" s="180"/>
      <c r="C36" s="184"/>
      <c r="D36" s="184"/>
      <c r="E36" s="184"/>
      <c r="F36" s="185"/>
      <c r="G36" s="186">
        <f>SUM(G10:G34)</f>
        <v>167780000</v>
      </c>
      <c r="H36" s="186"/>
      <c r="I36" s="186"/>
      <c r="J36" s="186"/>
      <c r="K36" s="186">
        <f t="shared" ref="K36:AH36" si="39">SUM(K10:K34)</f>
        <v>154280000</v>
      </c>
      <c r="L36" s="186">
        <f t="shared" si="39"/>
        <v>119800000</v>
      </c>
      <c r="M36" s="186">
        <f t="shared" si="39"/>
        <v>274080000</v>
      </c>
      <c r="N36" s="186">
        <f t="shared" si="39"/>
        <v>1262469</v>
      </c>
      <c r="O36" s="186">
        <f t="shared" si="39"/>
        <v>24116790</v>
      </c>
      <c r="P36" s="186">
        <f t="shared" si="39"/>
        <v>5877000</v>
      </c>
      <c r="Q36" s="186">
        <f t="shared" si="39"/>
        <v>305336259</v>
      </c>
      <c r="R36" s="186">
        <f t="shared" si="39"/>
        <v>12342400</v>
      </c>
      <c r="S36" s="186">
        <f t="shared" si="39"/>
        <v>2314200</v>
      </c>
      <c r="T36" s="186">
        <f t="shared" si="39"/>
        <v>1542800</v>
      </c>
      <c r="U36" s="186">
        <f t="shared" si="39"/>
        <v>16199400</v>
      </c>
      <c r="V36" s="186">
        <f t="shared" si="39"/>
        <v>7</v>
      </c>
      <c r="W36" s="186">
        <f t="shared" si="39"/>
        <v>30800000</v>
      </c>
      <c r="X36" s="186">
        <f t="shared" si="39"/>
        <v>220000000</v>
      </c>
      <c r="Y36" s="186">
        <f t="shared" si="39"/>
        <v>250800000</v>
      </c>
      <c r="Z36" s="186">
        <f t="shared" si="39"/>
        <v>98440519</v>
      </c>
      <c r="AA36" s="186">
        <f t="shared" si="39"/>
        <v>14626275.949999999</v>
      </c>
      <c r="AB36" s="186">
        <f t="shared" si="39"/>
        <v>0</v>
      </c>
      <c r="AC36" s="186">
        <f t="shared" si="39"/>
        <v>0</v>
      </c>
      <c r="AD36" s="186">
        <f t="shared" si="39"/>
        <v>281245458.05000001</v>
      </c>
      <c r="AE36" s="186">
        <f t="shared" si="39"/>
        <v>36255800</v>
      </c>
      <c r="AF36" s="186">
        <f t="shared" si="39"/>
        <v>52455200</v>
      </c>
      <c r="AG36" s="186">
        <f t="shared" si="39"/>
        <v>25444688.25</v>
      </c>
      <c r="AH36" s="186">
        <f t="shared" si="39"/>
        <v>14626275.949999999</v>
      </c>
      <c r="AI36" s="153"/>
      <c r="AJ36" s="187"/>
      <c r="AK36" s="153"/>
      <c r="AL36" s="153"/>
      <c r="AM36" s="153"/>
      <c r="AN36" s="153"/>
      <c r="AO36" s="153"/>
      <c r="AP36" s="153"/>
    </row>
    <row r="37" spans="1:42" s="176" customFormat="1">
      <c r="C37" s="189"/>
      <c r="D37" s="189"/>
      <c r="E37" s="134"/>
      <c r="F37" s="134"/>
      <c r="H37" s="190"/>
      <c r="I37" s="190"/>
      <c r="J37" s="190"/>
      <c r="K37" s="191"/>
      <c r="L37" s="191"/>
      <c r="M37" s="192"/>
      <c r="N37" s="193"/>
      <c r="Q37" s="191"/>
      <c r="R37" s="194"/>
      <c r="S37" s="194"/>
      <c r="T37" s="194"/>
      <c r="U37" s="195"/>
      <c r="V37" s="196"/>
      <c r="W37" s="195"/>
      <c r="X37" s="195"/>
      <c r="Y37" s="195"/>
      <c r="Z37" s="195"/>
      <c r="AA37" s="195"/>
      <c r="AB37" s="197"/>
      <c r="AC37" s="198"/>
      <c r="AD37" s="199"/>
      <c r="AF37" s="194"/>
      <c r="AG37" s="199"/>
      <c r="AH37" s="199"/>
      <c r="AI37" s="134"/>
      <c r="AJ37" s="134"/>
      <c r="AK37" s="134"/>
      <c r="AL37" s="134"/>
      <c r="AM37" s="134"/>
      <c r="AN37" s="134"/>
      <c r="AO37" s="134"/>
      <c r="AP37" s="134"/>
    </row>
    <row r="38" spans="1:42">
      <c r="E38" s="6"/>
      <c r="F38" s="212"/>
      <c r="G38" s="212"/>
      <c r="H38" s="212"/>
      <c r="I38" s="169"/>
      <c r="J38" s="169"/>
      <c r="R38" s="200"/>
      <c r="S38" s="200"/>
      <c r="T38" s="200"/>
      <c r="U38" s="200"/>
      <c r="V38" s="200"/>
      <c r="W38" s="200"/>
      <c r="X38" s="200"/>
      <c r="Y38" s="200"/>
      <c r="Z38" s="203"/>
      <c r="AA38" s="169"/>
      <c r="AB38" s="204"/>
      <c r="AC38" s="131" t="s">
        <v>328</v>
      </c>
      <c r="AD38" s="205">
        <f>AD36+AB36+AC36</f>
        <v>281245458.05000001</v>
      </c>
      <c r="AG38" s="302">
        <f>AD36+AF36+AG36</f>
        <v>359145346.30000001</v>
      </c>
      <c r="AH38" s="303">
        <f>AG38/Q36</f>
        <v>1.1762289466577895</v>
      </c>
    </row>
    <row r="39" spans="1:42">
      <c r="C39" s="207"/>
      <c r="D39" s="207"/>
      <c r="E39" s="6"/>
      <c r="F39" s="212"/>
      <c r="G39" s="212"/>
      <c r="H39" s="212"/>
      <c r="I39" s="169"/>
      <c r="J39" s="169"/>
      <c r="K39" s="169"/>
      <c r="L39" s="169"/>
      <c r="M39" s="208"/>
      <c r="R39" s="200"/>
      <c r="S39" s="200"/>
      <c r="T39" s="200"/>
      <c r="U39" s="200"/>
      <c r="V39" s="200"/>
      <c r="W39" s="200"/>
      <c r="X39" s="200"/>
      <c r="Y39" s="200"/>
      <c r="Z39" s="203"/>
      <c r="AA39" s="169"/>
      <c r="AB39" s="209" t="s">
        <v>100</v>
      </c>
      <c r="AC39" s="210" t="s">
        <v>87</v>
      </c>
      <c r="AD39" s="206">
        <f>AD10+AD12</f>
        <v>66800000</v>
      </c>
    </row>
    <row r="40" spans="1:42" ht="14.4">
      <c r="C40" s="207"/>
      <c r="D40" s="207"/>
      <c r="E40" s="7"/>
      <c r="F40" s="212"/>
      <c r="G40" s="212"/>
      <c r="H40" s="212"/>
      <c r="I40" s="169"/>
      <c r="J40" s="169"/>
      <c r="K40" s="169"/>
      <c r="L40" s="169"/>
      <c r="M40" s="208"/>
      <c r="R40" s="200"/>
      <c r="S40" s="200"/>
      <c r="T40" s="200"/>
      <c r="U40" s="200"/>
      <c r="V40" s="200"/>
      <c r="W40" s="200"/>
      <c r="X40" s="200"/>
      <c r="Y40" s="200"/>
      <c r="Z40" s="203"/>
      <c r="AA40" s="169"/>
      <c r="AB40" s="98"/>
      <c r="AC40" s="210" t="s">
        <v>87</v>
      </c>
      <c r="AD40" s="206"/>
      <c r="AI40" s="219"/>
    </row>
    <row r="41" spans="1:42">
      <c r="C41" s="207"/>
      <c r="D41" s="207"/>
      <c r="E41" s="211"/>
      <c r="F41" s="212"/>
      <c r="G41" s="212"/>
      <c r="H41" s="212"/>
      <c r="I41" s="169"/>
      <c r="J41" s="212"/>
      <c r="K41" s="212"/>
      <c r="L41" s="212"/>
      <c r="M41" s="213"/>
      <c r="N41" s="213"/>
      <c r="R41" s="200"/>
      <c r="S41" s="200"/>
      <c r="T41" s="200"/>
      <c r="U41" s="200"/>
      <c r="V41" s="200"/>
      <c r="W41" s="200"/>
      <c r="X41" s="200"/>
      <c r="Y41" s="200"/>
      <c r="Z41" s="203"/>
      <c r="AA41" s="169"/>
      <c r="AB41" s="98"/>
      <c r="AC41" s="210" t="s">
        <v>87</v>
      </c>
      <c r="AD41" s="206"/>
      <c r="AE41" s="241"/>
    </row>
    <row r="42" spans="1:42">
      <c r="C42" s="207"/>
      <c r="D42" s="207"/>
      <c r="E42" s="211"/>
      <c r="F42" s="212"/>
      <c r="G42" s="212"/>
      <c r="H42" s="212"/>
      <c r="I42" s="169"/>
      <c r="J42" s="212"/>
      <c r="K42" s="212"/>
      <c r="L42" s="212"/>
      <c r="M42" s="213"/>
      <c r="N42" s="213"/>
      <c r="R42" s="169"/>
      <c r="S42" s="169"/>
      <c r="T42" s="169"/>
      <c r="U42" s="169"/>
      <c r="V42" s="169"/>
      <c r="W42" s="169"/>
      <c r="X42" s="169"/>
      <c r="Y42" s="169"/>
      <c r="Z42" s="214"/>
      <c r="AA42" s="169"/>
      <c r="AB42" s="209"/>
      <c r="AC42" s="215" t="s">
        <v>104</v>
      </c>
      <c r="AD42" s="205">
        <f>AD38-SUM(AD39:AD41)</f>
        <v>214445458.05000001</v>
      </c>
    </row>
    <row r="43" spans="1:42">
      <c r="C43" s="207"/>
      <c r="D43" s="207"/>
      <c r="E43" s="211"/>
      <c r="F43" s="212"/>
      <c r="G43" s="212"/>
      <c r="H43" s="212"/>
      <c r="I43" s="169"/>
      <c r="J43" s="212"/>
      <c r="K43" s="212"/>
      <c r="L43" s="212"/>
      <c r="M43" s="213"/>
      <c r="AC43" s="217"/>
    </row>
    <row r="44" spans="1:42">
      <c r="C44" s="207"/>
      <c r="D44" s="207"/>
      <c r="E44" s="211"/>
      <c r="F44" s="212"/>
      <c r="G44" s="212"/>
      <c r="H44" s="212"/>
      <c r="I44" s="169"/>
      <c r="J44" s="212"/>
      <c r="K44" s="212"/>
      <c r="L44" s="212"/>
      <c r="M44" s="213"/>
    </row>
    <row r="45" spans="1:42">
      <c r="C45" s="207"/>
      <c r="D45" s="207"/>
      <c r="E45" s="207"/>
      <c r="F45" s="207"/>
      <c r="G45" s="169"/>
      <c r="H45" s="169"/>
      <c r="I45" s="169"/>
      <c r="J45" s="212"/>
      <c r="K45" s="212"/>
      <c r="L45" s="212"/>
      <c r="M45" s="213"/>
      <c r="AD45" s="301"/>
    </row>
    <row r="46" spans="1:42">
      <c r="C46" s="207"/>
      <c r="D46" s="207"/>
      <c r="E46" s="207"/>
      <c r="F46" s="207"/>
      <c r="G46" s="169"/>
      <c r="H46" s="169"/>
      <c r="I46" s="169"/>
      <c r="J46" s="169"/>
      <c r="K46" s="218"/>
      <c r="L46" s="218"/>
      <c r="M46" s="208"/>
    </row>
    <row r="47" spans="1:42">
      <c r="C47" s="207"/>
      <c r="D47" s="207"/>
      <c r="E47" s="207"/>
      <c r="F47" s="207"/>
      <c r="G47" s="169"/>
      <c r="H47" s="169"/>
      <c r="I47" s="169"/>
      <c r="J47" s="169"/>
      <c r="K47" s="218"/>
      <c r="L47" s="218"/>
      <c r="M47" s="208"/>
    </row>
    <row r="48" spans="1:42">
      <c r="C48" s="207"/>
      <c r="D48" s="207"/>
      <c r="E48" s="207"/>
      <c r="F48" s="207"/>
      <c r="G48" s="169"/>
      <c r="H48" s="169"/>
      <c r="I48" s="169"/>
      <c r="J48" s="169"/>
      <c r="K48" s="218"/>
      <c r="L48" s="218"/>
      <c r="M48" s="208"/>
    </row>
    <row r="49" spans="1:46">
      <c r="C49" s="207"/>
      <c r="D49" s="207"/>
      <c r="E49" s="207"/>
      <c r="F49" s="207"/>
      <c r="G49" s="169"/>
      <c r="H49" s="169"/>
      <c r="I49" s="169"/>
      <c r="J49" s="169"/>
      <c r="K49" s="218"/>
      <c r="L49" s="218"/>
      <c r="M49" s="208"/>
    </row>
    <row r="50" spans="1:46">
      <c r="C50" s="207"/>
      <c r="D50" s="207"/>
      <c r="E50" s="207"/>
      <c r="F50" s="207"/>
      <c r="G50" s="169"/>
      <c r="H50" s="169"/>
      <c r="I50" s="169"/>
      <c r="J50" s="169"/>
      <c r="K50" s="218"/>
      <c r="L50" s="218"/>
      <c r="M50" s="208"/>
    </row>
    <row r="51" spans="1:46">
      <c r="C51" s="207"/>
      <c r="D51" s="207"/>
      <c r="E51" s="207"/>
      <c r="F51" s="207"/>
      <c r="G51" s="169"/>
      <c r="H51" s="169"/>
      <c r="I51" s="169"/>
      <c r="J51" s="169"/>
      <c r="K51" s="218"/>
      <c r="L51" s="218"/>
      <c r="M51" s="208"/>
    </row>
    <row r="52" spans="1:46">
      <c r="C52" s="207"/>
      <c r="D52" s="207"/>
      <c r="E52" s="207"/>
      <c r="F52" s="207"/>
      <c r="G52" s="169"/>
      <c r="H52" s="169"/>
      <c r="I52" s="169"/>
      <c r="J52" s="169"/>
      <c r="K52" s="218"/>
      <c r="L52" s="218"/>
      <c r="M52" s="208"/>
    </row>
    <row r="53" spans="1:46" s="202" customFormat="1">
      <c r="A53" s="132"/>
      <c r="B53" s="176"/>
      <c r="C53" s="207"/>
      <c r="D53" s="207"/>
      <c r="E53" s="207"/>
      <c r="F53" s="207"/>
      <c r="G53" s="169"/>
      <c r="H53" s="169"/>
      <c r="I53" s="169"/>
      <c r="J53" s="169"/>
      <c r="K53" s="218"/>
      <c r="L53" s="218"/>
      <c r="M53" s="208"/>
      <c r="O53" s="132"/>
      <c r="P53" s="132"/>
      <c r="Q53" s="188"/>
      <c r="R53" s="132"/>
      <c r="S53" s="132"/>
      <c r="T53" s="132"/>
      <c r="U53" s="132"/>
      <c r="V53" s="132"/>
      <c r="W53" s="132"/>
      <c r="X53" s="132"/>
      <c r="Y53" s="132"/>
      <c r="Z53" s="216"/>
      <c r="AA53" s="132"/>
      <c r="AD53" s="132"/>
      <c r="AE53" s="132"/>
      <c r="AF53" s="132"/>
      <c r="AG53" s="132"/>
      <c r="AH53" s="132"/>
      <c r="AI53" s="134"/>
      <c r="AJ53" s="133"/>
      <c r="AK53" s="134"/>
      <c r="AL53" s="134"/>
      <c r="AM53" s="134"/>
      <c r="AN53" s="134"/>
      <c r="AO53" s="134"/>
      <c r="AP53" s="134"/>
      <c r="AQ53" s="132"/>
      <c r="AR53" s="132"/>
      <c r="AS53" s="132"/>
      <c r="AT53" s="132"/>
    </row>
    <row r="54" spans="1:46" s="202" customFormat="1">
      <c r="A54" s="132"/>
      <c r="B54" s="176"/>
      <c r="C54" s="207"/>
      <c r="D54" s="207"/>
      <c r="E54" s="207"/>
      <c r="F54" s="207"/>
      <c r="G54" s="169"/>
      <c r="H54" s="169"/>
      <c r="I54" s="169"/>
      <c r="J54" s="169"/>
      <c r="K54" s="218"/>
      <c r="L54" s="218"/>
      <c r="M54" s="208"/>
      <c r="O54" s="132"/>
      <c r="P54" s="132"/>
      <c r="Q54" s="188"/>
      <c r="R54" s="132"/>
      <c r="S54" s="132"/>
      <c r="T54" s="132"/>
      <c r="U54" s="132"/>
      <c r="V54" s="132"/>
      <c r="W54" s="132"/>
      <c r="X54" s="132"/>
      <c r="Y54" s="132"/>
      <c r="Z54" s="216"/>
      <c r="AA54" s="132"/>
      <c r="AD54" s="132"/>
      <c r="AE54" s="132"/>
      <c r="AF54" s="132"/>
      <c r="AG54" s="132"/>
      <c r="AH54" s="132"/>
      <c r="AI54" s="134"/>
      <c r="AJ54" s="133"/>
      <c r="AK54" s="134"/>
      <c r="AL54" s="134"/>
      <c r="AM54" s="134"/>
      <c r="AN54" s="134"/>
      <c r="AO54" s="134"/>
      <c r="AP54" s="134"/>
      <c r="AQ54" s="132"/>
      <c r="AR54" s="132"/>
      <c r="AS54" s="132"/>
      <c r="AT54" s="132"/>
    </row>
    <row r="55" spans="1:46" s="202" customFormat="1">
      <c r="A55" s="132"/>
      <c r="B55" s="176"/>
      <c r="C55" s="207"/>
      <c r="D55" s="207"/>
      <c r="E55" s="207"/>
      <c r="F55" s="207"/>
      <c r="G55" s="169"/>
      <c r="H55" s="169"/>
      <c r="I55" s="169"/>
      <c r="J55" s="169"/>
      <c r="K55" s="218"/>
      <c r="L55" s="218"/>
      <c r="M55" s="208"/>
      <c r="O55" s="132"/>
      <c r="P55" s="132"/>
      <c r="Q55" s="188"/>
      <c r="R55" s="132"/>
      <c r="S55" s="132"/>
      <c r="T55" s="132"/>
      <c r="U55" s="132"/>
      <c r="V55" s="132"/>
      <c r="W55" s="132"/>
      <c r="X55" s="132"/>
      <c r="Y55" s="132"/>
      <c r="Z55" s="216"/>
      <c r="AA55" s="132"/>
      <c r="AD55" s="132"/>
      <c r="AE55" s="132"/>
      <c r="AF55" s="132"/>
      <c r="AG55" s="132"/>
      <c r="AH55" s="132"/>
      <c r="AI55" s="134"/>
      <c r="AJ55" s="133"/>
      <c r="AK55" s="134"/>
      <c r="AL55" s="134"/>
      <c r="AM55" s="134"/>
      <c r="AN55" s="134"/>
      <c r="AO55" s="134"/>
      <c r="AP55" s="134"/>
      <c r="AQ55" s="132"/>
      <c r="AR55" s="132"/>
      <c r="AS55" s="132"/>
      <c r="AT55" s="132"/>
    </row>
    <row r="56" spans="1:46" s="202" customFormat="1">
      <c r="A56" s="132"/>
      <c r="B56" s="176"/>
      <c r="C56" s="207"/>
      <c r="D56" s="207"/>
      <c r="E56" s="207"/>
      <c r="F56" s="207"/>
      <c r="G56" s="169"/>
      <c r="H56" s="169"/>
      <c r="I56" s="169"/>
      <c r="J56" s="169"/>
      <c r="K56" s="218"/>
      <c r="L56" s="218"/>
      <c r="M56" s="208"/>
      <c r="O56" s="132"/>
      <c r="P56" s="132"/>
      <c r="Q56" s="188"/>
      <c r="R56" s="132"/>
      <c r="S56" s="132"/>
      <c r="T56" s="132"/>
      <c r="U56" s="132"/>
      <c r="V56" s="132"/>
      <c r="W56" s="132"/>
      <c r="X56" s="132"/>
      <c r="Y56" s="132"/>
      <c r="Z56" s="216"/>
      <c r="AA56" s="132"/>
      <c r="AD56" s="132"/>
      <c r="AE56" s="132"/>
      <c r="AF56" s="132"/>
      <c r="AG56" s="132"/>
      <c r="AH56" s="132"/>
      <c r="AI56" s="134"/>
      <c r="AJ56" s="133"/>
      <c r="AK56" s="134"/>
      <c r="AL56" s="134"/>
      <c r="AM56" s="134"/>
      <c r="AN56" s="134"/>
      <c r="AO56" s="134"/>
      <c r="AP56" s="134"/>
      <c r="AQ56" s="132"/>
      <c r="AR56" s="132"/>
      <c r="AS56" s="132"/>
      <c r="AT56" s="132"/>
    </row>
    <row r="57" spans="1:46" s="202" customFormat="1">
      <c r="A57" s="132"/>
      <c r="B57" s="176"/>
      <c r="C57" s="207"/>
      <c r="D57" s="207"/>
      <c r="E57" s="207"/>
      <c r="F57" s="207"/>
      <c r="G57" s="169"/>
      <c r="H57" s="169"/>
      <c r="I57" s="169"/>
      <c r="J57" s="169"/>
      <c r="K57" s="218"/>
      <c r="L57" s="218"/>
      <c r="M57" s="208"/>
      <c r="O57" s="132"/>
      <c r="P57" s="132"/>
      <c r="Q57" s="188"/>
      <c r="R57" s="132"/>
      <c r="S57" s="132"/>
      <c r="T57" s="132"/>
      <c r="U57" s="132"/>
      <c r="V57" s="132"/>
      <c r="W57" s="132"/>
      <c r="X57" s="132"/>
      <c r="Y57" s="132"/>
      <c r="Z57" s="216"/>
      <c r="AA57" s="132"/>
      <c r="AD57" s="132"/>
      <c r="AE57" s="132"/>
      <c r="AF57" s="132"/>
      <c r="AG57" s="132"/>
      <c r="AH57" s="132"/>
      <c r="AI57" s="134"/>
      <c r="AJ57" s="133"/>
      <c r="AK57" s="134"/>
      <c r="AL57" s="134"/>
      <c r="AM57" s="134"/>
      <c r="AN57" s="134"/>
      <c r="AO57" s="134"/>
      <c r="AP57" s="134"/>
      <c r="AQ57" s="132"/>
      <c r="AR57" s="132"/>
      <c r="AS57" s="132"/>
      <c r="AT57" s="132"/>
    </row>
    <row r="58" spans="1:46" s="202" customFormat="1">
      <c r="A58" s="132"/>
      <c r="B58" s="176"/>
      <c r="C58" s="207"/>
      <c r="D58" s="207"/>
      <c r="E58" s="207"/>
      <c r="F58" s="207"/>
      <c r="G58" s="169"/>
      <c r="H58" s="169"/>
      <c r="I58" s="169"/>
      <c r="J58" s="169"/>
      <c r="K58" s="218"/>
      <c r="L58" s="218"/>
      <c r="M58" s="208"/>
      <c r="O58" s="132"/>
      <c r="P58" s="132"/>
      <c r="Q58" s="188"/>
      <c r="R58" s="132"/>
      <c r="S58" s="132"/>
      <c r="T58" s="132"/>
      <c r="U58" s="132"/>
      <c r="V58" s="132"/>
      <c r="W58" s="132"/>
      <c r="X58" s="132"/>
      <c r="Y58" s="132"/>
      <c r="Z58" s="216"/>
      <c r="AA58" s="132"/>
      <c r="AD58" s="132"/>
      <c r="AE58" s="132"/>
      <c r="AF58" s="132"/>
      <c r="AG58" s="132"/>
      <c r="AH58" s="132"/>
      <c r="AI58" s="134"/>
      <c r="AJ58" s="133"/>
      <c r="AK58" s="134"/>
      <c r="AL58" s="134"/>
      <c r="AM58" s="134"/>
      <c r="AN58" s="134"/>
      <c r="AO58" s="134"/>
      <c r="AP58" s="134"/>
      <c r="AQ58" s="132"/>
      <c r="AR58" s="132"/>
      <c r="AS58" s="132"/>
      <c r="AT58" s="132"/>
    </row>
    <row r="59" spans="1:46" s="202" customFormat="1">
      <c r="A59" s="132"/>
      <c r="B59" s="176"/>
      <c r="C59" s="207"/>
      <c r="D59" s="207"/>
      <c r="E59" s="207"/>
      <c r="F59" s="207"/>
      <c r="G59" s="169"/>
      <c r="H59" s="169"/>
      <c r="I59" s="169"/>
      <c r="J59" s="169"/>
      <c r="K59" s="218"/>
      <c r="L59" s="218"/>
      <c r="M59" s="208"/>
      <c r="O59" s="132"/>
      <c r="P59" s="132"/>
      <c r="Q59" s="188"/>
      <c r="R59" s="132"/>
      <c r="S59" s="132"/>
      <c r="T59" s="132"/>
      <c r="U59" s="132"/>
      <c r="V59" s="132"/>
      <c r="W59" s="132"/>
      <c r="X59" s="132"/>
      <c r="Y59" s="132"/>
      <c r="Z59" s="216"/>
      <c r="AA59" s="132"/>
      <c r="AD59" s="132"/>
      <c r="AE59" s="132"/>
      <c r="AF59" s="132"/>
      <c r="AG59" s="132"/>
      <c r="AH59" s="132"/>
      <c r="AI59" s="134"/>
      <c r="AJ59" s="133"/>
      <c r="AK59" s="134"/>
      <c r="AL59" s="134"/>
      <c r="AM59" s="134"/>
      <c r="AN59" s="134"/>
      <c r="AO59" s="134"/>
      <c r="AP59" s="134"/>
      <c r="AQ59" s="132"/>
      <c r="AR59" s="132"/>
      <c r="AS59" s="132"/>
      <c r="AT59" s="132"/>
    </row>
    <row r="60" spans="1:46" s="202" customFormat="1">
      <c r="A60" s="132"/>
      <c r="B60" s="176"/>
      <c r="C60" s="207"/>
      <c r="D60" s="207"/>
      <c r="E60" s="207"/>
      <c r="F60" s="207"/>
      <c r="G60" s="169"/>
      <c r="H60" s="169"/>
      <c r="I60" s="169"/>
      <c r="J60" s="169"/>
      <c r="K60" s="218"/>
      <c r="L60" s="218"/>
      <c r="M60" s="208"/>
      <c r="O60" s="132"/>
      <c r="P60" s="132"/>
      <c r="Q60" s="188"/>
      <c r="R60" s="132"/>
      <c r="S60" s="132"/>
      <c r="T60" s="132"/>
      <c r="U60" s="132"/>
      <c r="V60" s="132"/>
      <c r="W60" s="132"/>
      <c r="X60" s="132"/>
      <c r="Y60" s="132"/>
      <c r="Z60" s="216"/>
      <c r="AA60" s="132"/>
      <c r="AD60" s="132"/>
      <c r="AE60" s="132"/>
      <c r="AF60" s="132"/>
      <c r="AG60" s="132"/>
      <c r="AH60" s="132"/>
      <c r="AI60" s="134"/>
      <c r="AJ60" s="133"/>
      <c r="AK60" s="134"/>
      <c r="AL60" s="134"/>
      <c r="AM60" s="134"/>
      <c r="AN60" s="134"/>
      <c r="AO60" s="134"/>
      <c r="AP60" s="134"/>
      <c r="AQ60" s="132"/>
      <c r="AR60" s="132"/>
      <c r="AS60" s="132"/>
      <c r="AT60" s="132"/>
    </row>
    <row r="61" spans="1:46" s="202" customFormat="1">
      <c r="A61" s="132"/>
      <c r="B61" s="176"/>
      <c r="C61" s="207"/>
      <c r="D61" s="207"/>
      <c r="E61" s="207"/>
      <c r="F61" s="207"/>
      <c r="G61" s="169"/>
      <c r="H61" s="169"/>
      <c r="I61" s="169"/>
      <c r="J61" s="169"/>
      <c r="K61" s="218"/>
      <c r="L61" s="218"/>
      <c r="M61" s="208"/>
      <c r="O61" s="132"/>
      <c r="P61" s="132"/>
      <c r="Q61" s="188"/>
      <c r="R61" s="132"/>
      <c r="S61" s="132"/>
      <c r="T61" s="132"/>
      <c r="U61" s="132"/>
      <c r="V61" s="132"/>
      <c r="W61" s="132"/>
      <c r="X61" s="132"/>
      <c r="Y61" s="132"/>
      <c r="Z61" s="216"/>
      <c r="AA61" s="132"/>
      <c r="AD61" s="132"/>
      <c r="AE61" s="132"/>
      <c r="AF61" s="132"/>
      <c r="AG61" s="132"/>
      <c r="AH61" s="132"/>
      <c r="AI61" s="134"/>
      <c r="AJ61" s="133"/>
      <c r="AK61" s="134"/>
      <c r="AL61" s="134"/>
      <c r="AM61" s="134"/>
      <c r="AN61" s="134"/>
      <c r="AO61" s="134"/>
      <c r="AP61" s="134"/>
      <c r="AQ61" s="132"/>
      <c r="AR61" s="132"/>
      <c r="AS61" s="132"/>
      <c r="AT61" s="132"/>
    </row>
    <row r="62" spans="1:46" s="202" customFormat="1">
      <c r="A62" s="132"/>
      <c r="B62" s="176"/>
      <c r="C62" s="207"/>
      <c r="D62" s="207"/>
      <c r="E62" s="207"/>
      <c r="F62" s="207"/>
      <c r="G62" s="169"/>
      <c r="H62" s="169"/>
      <c r="I62" s="169"/>
      <c r="J62" s="169"/>
      <c r="K62" s="218"/>
      <c r="L62" s="218"/>
      <c r="M62" s="208"/>
      <c r="O62" s="132"/>
      <c r="P62" s="132"/>
      <c r="Q62" s="188"/>
      <c r="R62" s="132"/>
      <c r="S62" s="132"/>
      <c r="T62" s="132"/>
      <c r="U62" s="132"/>
      <c r="V62" s="132"/>
      <c r="W62" s="132"/>
      <c r="X62" s="132"/>
      <c r="Y62" s="132"/>
      <c r="Z62" s="216"/>
      <c r="AA62" s="132"/>
      <c r="AD62" s="132"/>
      <c r="AE62" s="132"/>
      <c r="AF62" s="132"/>
      <c r="AG62" s="132"/>
      <c r="AH62" s="132"/>
      <c r="AI62" s="134"/>
      <c r="AJ62" s="133"/>
      <c r="AK62" s="134"/>
      <c r="AL62" s="134"/>
      <c r="AM62" s="134"/>
      <c r="AN62" s="134"/>
      <c r="AO62" s="134"/>
      <c r="AP62" s="134"/>
      <c r="AQ62" s="132"/>
      <c r="AR62" s="132"/>
      <c r="AS62" s="132"/>
      <c r="AT62" s="132"/>
    </row>
    <row r="63" spans="1:46" s="202" customFormat="1">
      <c r="A63" s="132"/>
      <c r="B63" s="176"/>
      <c r="C63" s="207"/>
      <c r="D63" s="207"/>
      <c r="E63" s="207"/>
      <c r="F63" s="207"/>
      <c r="G63" s="169"/>
      <c r="H63" s="169"/>
      <c r="I63" s="169"/>
      <c r="J63" s="169"/>
      <c r="K63" s="218"/>
      <c r="L63" s="218"/>
      <c r="M63" s="208"/>
      <c r="O63" s="132"/>
      <c r="P63" s="132"/>
      <c r="Q63" s="188"/>
      <c r="R63" s="132"/>
      <c r="S63" s="132"/>
      <c r="T63" s="132"/>
      <c r="U63" s="132"/>
      <c r="V63" s="132"/>
      <c r="W63" s="132"/>
      <c r="X63" s="132"/>
      <c r="Y63" s="132"/>
      <c r="Z63" s="216"/>
      <c r="AA63" s="132"/>
      <c r="AD63" s="132"/>
      <c r="AE63" s="132"/>
      <c r="AF63" s="132"/>
      <c r="AG63" s="132"/>
      <c r="AH63" s="132"/>
      <c r="AI63" s="134"/>
      <c r="AJ63" s="133"/>
      <c r="AK63" s="134"/>
      <c r="AL63" s="134"/>
      <c r="AM63" s="134"/>
      <c r="AN63" s="134"/>
      <c r="AO63" s="134"/>
      <c r="AP63" s="134"/>
      <c r="AQ63" s="132"/>
      <c r="AR63" s="132"/>
      <c r="AS63" s="132"/>
      <c r="AT63" s="132"/>
    </row>
    <row r="64" spans="1:46" s="202" customFormat="1">
      <c r="A64" s="132"/>
      <c r="B64" s="176"/>
      <c r="C64" s="207"/>
      <c r="D64" s="207"/>
      <c r="E64" s="207"/>
      <c r="F64" s="207"/>
      <c r="G64" s="169"/>
      <c r="H64" s="169"/>
      <c r="I64" s="169"/>
      <c r="J64" s="169"/>
      <c r="K64" s="218"/>
      <c r="L64" s="218"/>
      <c r="M64" s="208"/>
      <c r="O64" s="132"/>
      <c r="P64" s="132"/>
      <c r="Q64" s="188"/>
      <c r="R64" s="132"/>
      <c r="S64" s="132"/>
      <c r="T64" s="132"/>
      <c r="U64" s="132"/>
      <c r="V64" s="132"/>
      <c r="W64" s="132"/>
      <c r="X64" s="132"/>
      <c r="Y64" s="132"/>
      <c r="Z64" s="216"/>
      <c r="AA64" s="132"/>
      <c r="AD64" s="132"/>
      <c r="AE64" s="132"/>
      <c r="AF64" s="132"/>
      <c r="AG64" s="132"/>
      <c r="AH64" s="132"/>
      <c r="AI64" s="134"/>
      <c r="AJ64" s="133"/>
      <c r="AK64" s="134"/>
      <c r="AL64" s="134"/>
      <c r="AM64" s="134"/>
      <c r="AN64" s="134"/>
      <c r="AO64" s="134"/>
      <c r="AP64" s="134"/>
      <c r="AQ64" s="132"/>
      <c r="AR64" s="132"/>
      <c r="AS64" s="132"/>
      <c r="AT64" s="132"/>
    </row>
    <row r="65" spans="1:46" s="202" customFormat="1">
      <c r="A65" s="132"/>
      <c r="B65" s="176"/>
      <c r="C65" s="207"/>
      <c r="D65" s="207"/>
      <c r="E65" s="207"/>
      <c r="F65" s="207"/>
      <c r="G65" s="169"/>
      <c r="H65" s="169"/>
      <c r="I65" s="169"/>
      <c r="J65" s="169"/>
      <c r="K65" s="218"/>
      <c r="L65" s="218"/>
      <c r="M65" s="208"/>
      <c r="O65" s="132"/>
      <c r="P65" s="132"/>
      <c r="Q65" s="188"/>
      <c r="R65" s="132"/>
      <c r="S65" s="132"/>
      <c r="T65" s="132"/>
      <c r="U65" s="132"/>
      <c r="V65" s="132"/>
      <c r="W65" s="132"/>
      <c r="X65" s="132"/>
      <c r="Y65" s="132"/>
      <c r="Z65" s="216"/>
      <c r="AA65" s="132"/>
      <c r="AD65" s="132"/>
      <c r="AE65" s="132"/>
      <c r="AF65" s="132"/>
      <c r="AG65" s="132"/>
      <c r="AH65" s="132"/>
      <c r="AI65" s="134"/>
      <c r="AJ65" s="133"/>
      <c r="AK65" s="134"/>
      <c r="AL65" s="134"/>
      <c r="AM65" s="134"/>
      <c r="AN65" s="134"/>
      <c r="AO65" s="134"/>
      <c r="AP65" s="134"/>
      <c r="AQ65" s="132"/>
      <c r="AR65" s="132"/>
      <c r="AS65" s="132"/>
      <c r="AT65" s="132"/>
    </row>
    <row r="66" spans="1:46" s="202" customFormat="1">
      <c r="A66" s="132"/>
      <c r="B66" s="176"/>
      <c r="C66" s="207"/>
      <c r="D66" s="207"/>
      <c r="E66" s="207"/>
      <c r="F66" s="207"/>
      <c r="G66" s="169"/>
      <c r="H66" s="169"/>
      <c r="I66" s="169"/>
      <c r="J66" s="169"/>
      <c r="K66" s="218"/>
      <c r="L66" s="218"/>
      <c r="M66" s="208"/>
      <c r="O66" s="132"/>
      <c r="P66" s="132"/>
      <c r="Q66" s="188"/>
      <c r="R66" s="132"/>
      <c r="S66" s="132"/>
      <c r="T66" s="132"/>
      <c r="U66" s="132"/>
      <c r="V66" s="132"/>
      <c r="W66" s="132"/>
      <c r="X66" s="132"/>
      <c r="Y66" s="132"/>
      <c r="Z66" s="216"/>
      <c r="AA66" s="132"/>
      <c r="AD66" s="132"/>
      <c r="AE66" s="132"/>
      <c r="AF66" s="132"/>
      <c r="AG66" s="132"/>
      <c r="AH66" s="132"/>
      <c r="AI66" s="134"/>
      <c r="AJ66" s="133"/>
      <c r="AK66" s="134"/>
      <c r="AL66" s="134"/>
      <c r="AM66" s="134"/>
      <c r="AN66" s="134"/>
      <c r="AO66" s="134"/>
      <c r="AP66" s="134"/>
      <c r="AQ66" s="132"/>
      <c r="AR66" s="132"/>
      <c r="AS66" s="132"/>
      <c r="AT66" s="132"/>
    </row>
    <row r="67" spans="1:46" s="202" customFormat="1">
      <c r="A67" s="132"/>
      <c r="B67" s="176"/>
      <c r="C67" s="207"/>
      <c r="D67" s="207"/>
      <c r="E67" s="207"/>
      <c r="F67" s="207"/>
      <c r="G67" s="169"/>
      <c r="H67" s="169"/>
      <c r="I67" s="169"/>
      <c r="J67" s="169"/>
      <c r="K67" s="218"/>
      <c r="L67" s="218"/>
      <c r="M67" s="208"/>
      <c r="O67" s="132"/>
      <c r="P67" s="132"/>
      <c r="Q67" s="188"/>
      <c r="R67" s="132"/>
      <c r="S67" s="132"/>
      <c r="T67" s="132"/>
      <c r="U67" s="132"/>
      <c r="V67" s="132"/>
      <c r="W67" s="132"/>
      <c r="X67" s="132"/>
      <c r="Y67" s="132"/>
      <c r="Z67" s="216"/>
      <c r="AA67" s="132"/>
      <c r="AD67" s="132"/>
      <c r="AE67" s="132"/>
      <c r="AF67" s="132"/>
      <c r="AG67" s="132"/>
      <c r="AH67" s="132"/>
      <c r="AI67" s="134"/>
      <c r="AJ67" s="133"/>
      <c r="AK67" s="134"/>
      <c r="AL67" s="134"/>
      <c r="AM67" s="134"/>
      <c r="AN67" s="134"/>
      <c r="AO67" s="134"/>
      <c r="AP67" s="134"/>
      <c r="AQ67" s="132"/>
      <c r="AR67" s="132"/>
      <c r="AS67" s="132"/>
      <c r="AT67" s="132"/>
    </row>
    <row r="68" spans="1:46" s="202" customFormat="1">
      <c r="A68" s="132"/>
      <c r="B68" s="176"/>
      <c r="C68" s="207"/>
      <c r="D68" s="207"/>
      <c r="E68" s="207"/>
      <c r="F68" s="207"/>
      <c r="G68" s="169"/>
      <c r="H68" s="169"/>
      <c r="I68" s="169"/>
      <c r="J68" s="169"/>
      <c r="K68" s="218"/>
      <c r="L68" s="218"/>
      <c r="M68" s="208"/>
      <c r="O68" s="132"/>
      <c r="P68" s="132"/>
      <c r="Q68" s="188"/>
      <c r="R68" s="132"/>
      <c r="S68" s="132"/>
      <c r="T68" s="132"/>
      <c r="U68" s="132"/>
      <c r="V68" s="132"/>
      <c r="W68" s="132"/>
      <c r="X68" s="132"/>
      <c r="Y68" s="132"/>
      <c r="Z68" s="216"/>
      <c r="AA68" s="132"/>
      <c r="AD68" s="132"/>
      <c r="AE68" s="132"/>
      <c r="AF68" s="132"/>
      <c r="AG68" s="132"/>
      <c r="AH68" s="132"/>
      <c r="AI68" s="134"/>
      <c r="AJ68" s="133"/>
      <c r="AK68" s="134"/>
      <c r="AL68" s="134"/>
      <c r="AM68" s="134"/>
      <c r="AN68" s="134"/>
      <c r="AO68" s="134"/>
      <c r="AP68" s="134"/>
      <c r="AQ68" s="132"/>
      <c r="AR68" s="132"/>
      <c r="AS68" s="132"/>
      <c r="AT68" s="132"/>
    </row>
    <row r="69" spans="1:46" s="202" customFormat="1">
      <c r="A69" s="132"/>
      <c r="B69" s="176"/>
      <c r="C69" s="207"/>
      <c r="D69" s="207"/>
      <c r="E69" s="207"/>
      <c r="F69" s="207"/>
      <c r="G69" s="169"/>
      <c r="H69" s="169"/>
      <c r="I69" s="169"/>
      <c r="J69" s="169"/>
      <c r="K69" s="218"/>
      <c r="L69" s="218"/>
      <c r="M69" s="208"/>
      <c r="O69" s="132"/>
      <c r="P69" s="132"/>
      <c r="Q69" s="188"/>
      <c r="R69" s="132"/>
      <c r="S69" s="132"/>
      <c r="T69" s="132"/>
      <c r="U69" s="132"/>
      <c r="V69" s="132"/>
      <c r="W69" s="132"/>
      <c r="X69" s="132"/>
      <c r="Y69" s="132"/>
      <c r="Z69" s="216"/>
      <c r="AA69" s="132"/>
      <c r="AD69" s="132"/>
      <c r="AE69" s="132"/>
      <c r="AF69" s="132"/>
      <c r="AG69" s="132"/>
      <c r="AH69" s="132"/>
      <c r="AI69" s="134"/>
      <c r="AJ69" s="133"/>
      <c r="AK69" s="134"/>
      <c r="AL69" s="134"/>
      <c r="AM69" s="134"/>
      <c r="AN69" s="134"/>
      <c r="AO69" s="134"/>
      <c r="AP69" s="134"/>
      <c r="AQ69" s="132"/>
      <c r="AR69" s="132"/>
      <c r="AS69" s="132"/>
      <c r="AT69" s="132"/>
    </row>
    <row r="70" spans="1:46" s="202" customFormat="1">
      <c r="A70" s="132"/>
      <c r="B70" s="176"/>
      <c r="C70" s="207"/>
      <c r="D70" s="207"/>
      <c r="E70" s="207"/>
      <c r="F70" s="207"/>
      <c r="G70" s="169"/>
      <c r="H70" s="169"/>
      <c r="I70" s="169"/>
      <c r="J70" s="169"/>
      <c r="K70" s="218"/>
      <c r="L70" s="218"/>
      <c r="M70" s="208"/>
      <c r="O70" s="132"/>
      <c r="P70" s="132"/>
      <c r="Q70" s="188"/>
      <c r="R70" s="132"/>
      <c r="S70" s="132"/>
      <c r="T70" s="132"/>
      <c r="U70" s="132"/>
      <c r="V70" s="132"/>
      <c r="W70" s="132"/>
      <c r="X70" s="132"/>
      <c r="Y70" s="132"/>
      <c r="Z70" s="216"/>
      <c r="AA70" s="132"/>
      <c r="AD70" s="132"/>
      <c r="AE70" s="132"/>
      <c r="AF70" s="132"/>
      <c r="AG70" s="132"/>
      <c r="AH70" s="132"/>
      <c r="AI70" s="134"/>
      <c r="AJ70" s="133"/>
      <c r="AK70" s="134"/>
      <c r="AL70" s="134"/>
      <c r="AM70" s="134"/>
      <c r="AN70" s="134"/>
      <c r="AO70" s="134"/>
      <c r="AP70" s="134"/>
      <c r="AQ70" s="132"/>
      <c r="AR70" s="132"/>
      <c r="AS70" s="132"/>
      <c r="AT70" s="132"/>
    </row>
    <row r="71" spans="1:46" s="202" customFormat="1">
      <c r="A71" s="132"/>
      <c r="B71" s="176"/>
      <c r="C71" s="207"/>
      <c r="D71" s="207"/>
      <c r="E71" s="207"/>
      <c r="F71" s="207"/>
      <c r="G71" s="169"/>
      <c r="H71" s="169"/>
      <c r="I71" s="169"/>
      <c r="J71" s="169"/>
      <c r="K71" s="218"/>
      <c r="L71" s="218"/>
      <c r="M71" s="208"/>
      <c r="O71" s="132"/>
      <c r="P71" s="132"/>
      <c r="Q71" s="188"/>
      <c r="R71" s="132"/>
      <c r="S71" s="132"/>
      <c r="T71" s="132"/>
      <c r="U71" s="132"/>
      <c r="V71" s="132"/>
      <c r="W71" s="132"/>
      <c r="X71" s="132"/>
      <c r="Y71" s="132"/>
      <c r="Z71" s="216"/>
      <c r="AA71" s="132"/>
      <c r="AD71" s="132"/>
      <c r="AE71" s="132"/>
      <c r="AF71" s="132"/>
      <c r="AG71" s="132"/>
      <c r="AH71" s="132"/>
      <c r="AI71" s="134"/>
      <c r="AJ71" s="133"/>
      <c r="AK71" s="134"/>
      <c r="AL71" s="134"/>
      <c r="AM71" s="134"/>
      <c r="AN71" s="134"/>
      <c r="AO71" s="134"/>
      <c r="AP71" s="134"/>
      <c r="AQ71" s="132"/>
      <c r="AR71" s="132"/>
      <c r="AS71" s="132"/>
      <c r="AT71" s="132"/>
    </row>
    <row r="72" spans="1:46" s="202" customFormat="1">
      <c r="A72" s="132"/>
      <c r="B72" s="176"/>
      <c r="C72" s="207"/>
      <c r="D72" s="207"/>
      <c r="E72" s="207"/>
      <c r="F72" s="207"/>
      <c r="G72" s="169"/>
      <c r="H72" s="169"/>
      <c r="I72" s="169"/>
      <c r="J72" s="169"/>
      <c r="K72" s="218"/>
      <c r="L72" s="218"/>
      <c r="M72" s="208"/>
      <c r="O72" s="132"/>
      <c r="P72" s="132"/>
      <c r="Q72" s="188"/>
      <c r="R72" s="132"/>
      <c r="S72" s="132"/>
      <c r="T72" s="132"/>
      <c r="U72" s="132"/>
      <c r="V72" s="132"/>
      <c r="W72" s="132"/>
      <c r="X72" s="132"/>
      <c r="Y72" s="132"/>
      <c r="Z72" s="216"/>
      <c r="AA72" s="132"/>
      <c r="AD72" s="132"/>
      <c r="AE72" s="132"/>
      <c r="AF72" s="132"/>
      <c r="AG72" s="132"/>
      <c r="AH72" s="132"/>
      <c r="AI72" s="134"/>
      <c r="AJ72" s="133"/>
      <c r="AK72" s="134"/>
      <c r="AL72" s="134"/>
      <c r="AM72" s="134"/>
      <c r="AN72" s="134"/>
      <c r="AO72" s="134"/>
      <c r="AP72" s="134"/>
      <c r="AQ72" s="132"/>
      <c r="AR72" s="132"/>
      <c r="AS72" s="132"/>
      <c r="AT72" s="132"/>
    </row>
    <row r="73" spans="1:46" s="202" customFormat="1">
      <c r="A73" s="132"/>
      <c r="B73" s="176"/>
      <c r="C73" s="207"/>
      <c r="D73" s="207"/>
      <c r="E73" s="207"/>
      <c r="F73" s="207"/>
      <c r="G73" s="169"/>
      <c r="H73" s="169"/>
      <c r="I73" s="169"/>
      <c r="J73" s="169"/>
      <c r="K73" s="218"/>
      <c r="L73" s="218"/>
      <c r="M73" s="208"/>
      <c r="O73" s="132"/>
      <c r="P73" s="132"/>
      <c r="Q73" s="188"/>
      <c r="R73" s="132"/>
      <c r="S73" s="132"/>
      <c r="T73" s="132"/>
      <c r="U73" s="132"/>
      <c r="V73" s="132"/>
      <c r="W73" s="132"/>
      <c r="X73" s="132"/>
      <c r="Y73" s="132"/>
      <c r="Z73" s="216"/>
      <c r="AA73" s="132"/>
      <c r="AD73" s="132"/>
      <c r="AE73" s="132"/>
      <c r="AF73" s="132"/>
      <c r="AG73" s="132"/>
      <c r="AH73" s="132"/>
      <c r="AI73" s="134"/>
      <c r="AJ73" s="133"/>
      <c r="AK73" s="134"/>
      <c r="AL73" s="134"/>
      <c r="AM73" s="134"/>
      <c r="AN73" s="134"/>
      <c r="AO73" s="134"/>
      <c r="AP73" s="134"/>
      <c r="AQ73" s="132"/>
      <c r="AR73" s="132"/>
      <c r="AS73" s="132"/>
      <c r="AT73" s="132"/>
    </row>
    <row r="74" spans="1:46" s="202" customFormat="1">
      <c r="A74" s="132"/>
      <c r="B74" s="176"/>
      <c r="C74" s="207"/>
      <c r="D74" s="207"/>
      <c r="E74" s="207"/>
      <c r="F74" s="207"/>
      <c r="G74" s="169"/>
      <c r="H74" s="169"/>
      <c r="I74" s="169"/>
      <c r="J74" s="169"/>
      <c r="K74" s="218"/>
      <c r="L74" s="218"/>
      <c r="M74" s="208"/>
      <c r="O74" s="132"/>
      <c r="P74" s="132"/>
      <c r="Q74" s="188"/>
      <c r="R74" s="132"/>
      <c r="S74" s="132"/>
      <c r="T74" s="132"/>
      <c r="U74" s="132"/>
      <c r="V74" s="132"/>
      <c r="W74" s="132"/>
      <c r="X74" s="132"/>
      <c r="Y74" s="132"/>
      <c r="Z74" s="216"/>
      <c r="AA74" s="132"/>
      <c r="AD74" s="132"/>
      <c r="AE74" s="132"/>
      <c r="AF74" s="132"/>
      <c r="AG74" s="132"/>
      <c r="AH74" s="132"/>
      <c r="AI74" s="134"/>
      <c r="AJ74" s="133"/>
      <c r="AK74" s="134"/>
      <c r="AL74" s="134"/>
      <c r="AM74" s="134"/>
      <c r="AN74" s="134"/>
      <c r="AO74" s="134"/>
      <c r="AP74" s="134"/>
      <c r="AQ74" s="132"/>
      <c r="AR74" s="132"/>
      <c r="AS74" s="132"/>
      <c r="AT74" s="132"/>
    </row>
    <row r="75" spans="1:46" s="202" customFormat="1">
      <c r="A75" s="132"/>
      <c r="B75" s="176"/>
      <c r="C75" s="207"/>
      <c r="D75" s="207"/>
      <c r="E75" s="207"/>
      <c r="F75" s="207"/>
      <c r="G75" s="169"/>
      <c r="H75" s="169"/>
      <c r="I75" s="169"/>
      <c r="J75" s="169"/>
      <c r="K75" s="218"/>
      <c r="L75" s="218"/>
      <c r="M75" s="208"/>
      <c r="O75" s="132"/>
      <c r="P75" s="132"/>
      <c r="Q75" s="188"/>
      <c r="R75" s="132"/>
      <c r="S75" s="132"/>
      <c r="T75" s="132"/>
      <c r="U75" s="132"/>
      <c r="V75" s="132"/>
      <c r="W75" s="132"/>
      <c r="X75" s="132"/>
      <c r="Y75" s="132"/>
      <c r="Z75" s="216"/>
      <c r="AA75" s="132"/>
      <c r="AD75" s="132"/>
      <c r="AE75" s="132"/>
      <c r="AF75" s="132"/>
      <c r="AG75" s="132"/>
      <c r="AH75" s="132"/>
      <c r="AI75" s="134"/>
      <c r="AJ75" s="133"/>
      <c r="AK75" s="134"/>
      <c r="AL75" s="134"/>
      <c r="AM75" s="134"/>
      <c r="AN75" s="134"/>
      <c r="AO75" s="134"/>
      <c r="AP75" s="134"/>
      <c r="AQ75" s="132"/>
      <c r="AR75" s="132"/>
      <c r="AS75" s="132"/>
      <c r="AT75" s="132"/>
    </row>
    <row r="76" spans="1:46" s="202" customFormat="1">
      <c r="A76" s="132"/>
      <c r="B76" s="176"/>
      <c r="C76" s="207"/>
      <c r="D76" s="207"/>
      <c r="E76" s="207"/>
      <c r="F76" s="207"/>
      <c r="G76" s="169"/>
      <c r="H76" s="169"/>
      <c r="I76" s="169"/>
      <c r="J76" s="169"/>
      <c r="K76" s="218"/>
      <c r="L76" s="218"/>
      <c r="M76" s="208"/>
      <c r="O76" s="132"/>
      <c r="P76" s="132"/>
      <c r="Q76" s="188"/>
      <c r="R76" s="132"/>
      <c r="S76" s="132"/>
      <c r="T76" s="132"/>
      <c r="U76" s="132"/>
      <c r="V76" s="132"/>
      <c r="W76" s="132"/>
      <c r="X76" s="132"/>
      <c r="Y76" s="132"/>
      <c r="Z76" s="216"/>
      <c r="AA76" s="132"/>
      <c r="AD76" s="132"/>
      <c r="AE76" s="132"/>
      <c r="AF76" s="132"/>
      <c r="AG76" s="132"/>
      <c r="AH76" s="132"/>
      <c r="AI76" s="134"/>
      <c r="AJ76" s="133"/>
      <c r="AK76" s="134"/>
      <c r="AL76" s="134"/>
      <c r="AM76" s="134"/>
      <c r="AN76" s="134"/>
      <c r="AO76" s="134"/>
      <c r="AP76" s="134"/>
      <c r="AQ76" s="132"/>
      <c r="AR76" s="132"/>
      <c r="AS76" s="132"/>
      <c r="AT76" s="132"/>
    </row>
    <row r="77" spans="1:46" s="202" customFormat="1">
      <c r="A77" s="132"/>
      <c r="B77" s="176"/>
      <c r="C77" s="207"/>
      <c r="D77" s="207"/>
      <c r="E77" s="207"/>
      <c r="F77" s="207"/>
      <c r="G77" s="169"/>
      <c r="H77" s="169"/>
      <c r="I77" s="169"/>
      <c r="J77" s="169"/>
      <c r="K77" s="218"/>
      <c r="L77" s="218"/>
      <c r="M77" s="208"/>
      <c r="O77" s="132"/>
      <c r="P77" s="132"/>
      <c r="Q77" s="188"/>
      <c r="R77" s="132"/>
      <c r="S77" s="132"/>
      <c r="T77" s="132"/>
      <c r="U77" s="132"/>
      <c r="V77" s="132"/>
      <c r="W77" s="132"/>
      <c r="X77" s="132"/>
      <c r="Y77" s="132"/>
      <c r="Z77" s="216"/>
      <c r="AA77" s="132"/>
      <c r="AD77" s="132"/>
      <c r="AE77" s="132"/>
      <c r="AF77" s="132"/>
      <c r="AG77" s="132"/>
      <c r="AH77" s="132"/>
      <c r="AI77" s="134"/>
      <c r="AJ77" s="133"/>
      <c r="AK77" s="134"/>
      <c r="AL77" s="134"/>
      <c r="AM77" s="134"/>
      <c r="AN77" s="134"/>
      <c r="AO77" s="134"/>
      <c r="AP77" s="134"/>
      <c r="AQ77" s="132"/>
      <c r="AR77" s="132"/>
      <c r="AS77" s="132"/>
      <c r="AT77" s="132"/>
    </row>
  </sheetData>
  <mergeCells count="6">
    <mergeCell ref="AB7:AC7"/>
    <mergeCell ref="H7:J7"/>
    <mergeCell ref="K7:M7"/>
    <mergeCell ref="N7:P7"/>
    <mergeCell ref="R7:T7"/>
    <mergeCell ref="V7:X7"/>
  </mergeCells>
  <pageMargins left="0.2" right="0" top="0.25" bottom="0.25" header="0.3" footer="0.3"/>
  <pageSetup paperSize="9" scale="95" orientation="landscape" verticalDpi="30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F45"/>
  <sheetViews>
    <sheetView showGridLines="0" zoomScale="90" zoomScaleNormal="90" workbookViewId="0">
      <pane xSplit="2" ySplit="8" topLeftCell="C9" activePane="bottomRight" state="frozen"/>
      <selection pane="topRight" activeCell="C1" sqref="C1"/>
      <selection pane="bottomLeft" activeCell="A12" sqref="A12"/>
      <selection pane="bottomRight" activeCell="C7" sqref="C7"/>
    </sheetView>
  </sheetViews>
  <sheetFormatPr defaultColWidth="9.33203125" defaultRowHeight="13.8"/>
  <cols>
    <col min="1" max="1" width="3" style="21" bestFit="1" customWidth="1"/>
    <col min="2" max="2" width="22.33203125" style="18" customWidth="1"/>
    <col min="3" max="3" width="6.33203125" style="18" customWidth="1"/>
    <col min="4" max="4" width="8.44140625" style="18" customWidth="1"/>
    <col min="5" max="5" width="8.88671875" style="6" customWidth="1"/>
    <col min="6" max="6" width="8.109375" style="18" customWidth="1"/>
    <col min="7" max="7" width="7.109375" style="18" bestFit="1" customWidth="1"/>
    <col min="8" max="8" width="7.88671875" style="18" customWidth="1"/>
    <col min="9" max="9" width="7.44140625" style="18" customWidth="1"/>
    <col min="10" max="10" width="8.33203125" style="18" customWidth="1"/>
    <col min="11" max="11" width="7.6640625" style="18" customWidth="1"/>
    <col min="12" max="12" width="8.6640625" style="18" customWidth="1"/>
    <col min="13" max="13" width="7.33203125" style="18" customWidth="1"/>
    <col min="14" max="14" width="6.6640625" style="18" customWidth="1"/>
    <col min="15" max="15" width="7.44140625" style="18" customWidth="1"/>
    <col min="16" max="16" width="7.88671875" style="18" bestFit="1" customWidth="1"/>
    <col min="17" max="17" width="5.33203125" style="18" customWidth="1"/>
    <col min="18" max="18" width="6.88671875" style="18" customWidth="1"/>
    <col min="19" max="19" width="8" style="18" customWidth="1"/>
    <col min="20" max="20" width="8.33203125" style="18" customWidth="1"/>
    <col min="21" max="21" width="5.6640625" style="18" customWidth="1"/>
    <col min="22" max="22" width="6.33203125" style="18" customWidth="1"/>
    <col min="23" max="23" width="7.6640625" style="18" customWidth="1"/>
    <col min="24" max="24" width="8.33203125" style="18" customWidth="1"/>
    <col min="25" max="25" width="6.33203125" style="18" customWidth="1"/>
    <col min="26" max="26" width="6.5546875" style="18" customWidth="1"/>
    <col min="27" max="27" width="7.6640625" style="18" customWidth="1"/>
    <col min="28" max="28" width="8.33203125" style="18" customWidth="1"/>
    <col min="29" max="29" width="6.109375" style="18" customWidth="1"/>
    <col min="30" max="30" width="7.33203125" style="18" customWidth="1"/>
    <col min="31" max="31" width="7.88671875" style="18" customWidth="1"/>
    <col min="32" max="32" width="7.6640625" style="18" customWidth="1"/>
    <col min="33" max="33" width="6.44140625" style="18" customWidth="1"/>
    <col min="34" max="34" width="7.88671875" style="18" customWidth="1"/>
    <col min="35" max="35" width="7.5546875" style="18" customWidth="1"/>
    <col min="36" max="36" width="7.88671875" style="18" customWidth="1"/>
    <col min="37" max="37" width="6.33203125" style="18" customWidth="1"/>
    <col min="38" max="38" width="7" style="18" customWidth="1"/>
    <col min="39" max="39" width="7.33203125" style="18" bestFit="1" customWidth="1"/>
    <col min="40" max="40" width="8.109375" style="18" bestFit="1" customWidth="1"/>
    <col min="41" max="41" width="7.44140625" style="18" customWidth="1"/>
    <col min="42" max="43" width="7.33203125" style="18" customWidth="1"/>
    <col min="44" max="44" width="8.109375" style="18" customWidth="1"/>
    <col min="45" max="45" width="5.33203125" style="18" customWidth="1"/>
    <col min="46" max="46" width="6.33203125" style="18" customWidth="1"/>
    <col min="47" max="47" width="7.33203125" style="18" customWidth="1"/>
    <col min="48" max="48" width="7.6640625" style="18" bestFit="1" customWidth="1"/>
    <col min="49" max="49" width="7.88671875" style="18" customWidth="1"/>
    <col min="50" max="50" width="6.44140625" style="18" customWidth="1"/>
    <col min="51" max="51" width="7.44140625" style="18" customWidth="1"/>
    <col min="52" max="52" width="8.33203125" style="18" customWidth="1"/>
    <col min="53" max="53" width="7.33203125" style="18" customWidth="1"/>
    <col min="54" max="54" width="6.109375" style="18" customWidth="1"/>
    <col min="55" max="55" width="7" style="18" customWidth="1"/>
    <col min="56" max="56" width="7.88671875" style="18" customWidth="1"/>
    <col min="57" max="57" width="7.33203125" style="18" customWidth="1"/>
    <col min="58" max="58" width="6.33203125" style="18" customWidth="1"/>
    <col min="59" max="16384" width="9.33203125" style="18"/>
  </cols>
  <sheetData>
    <row r="1" spans="1:58" s="2" customFormat="1" ht="18" customHeight="1">
      <c r="B1" s="220" t="s">
        <v>180</v>
      </c>
      <c r="C1" s="118" t="s">
        <v>139</v>
      </c>
      <c r="D1" s="118"/>
      <c r="E1" s="1"/>
      <c r="F1" s="1"/>
      <c r="J1" s="5" t="s">
        <v>202</v>
      </c>
      <c r="K1" s="5"/>
      <c r="L1" s="12"/>
      <c r="M1" s="125"/>
      <c r="N1" s="39"/>
      <c r="O1" s="39"/>
      <c r="P1" s="5"/>
      <c r="Q1" s="12"/>
      <c r="R1" s="5"/>
      <c r="U1" s="1"/>
      <c r="X1" s="1"/>
      <c r="Y1" s="1"/>
      <c r="AB1" s="49"/>
      <c r="AC1" s="49"/>
      <c r="AI1" s="55"/>
      <c r="AJ1" s="1"/>
      <c r="AK1" s="55"/>
      <c r="AL1" s="55"/>
      <c r="AM1" s="55"/>
      <c r="AN1" s="55"/>
      <c r="AO1" s="55"/>
    </row>
    <row r="2" spans="1:58" s="2" customFormat="1" ht="14.1" customHeight="1">
      <c r="B2" s="230" t="s">
        <v>363</v>
      </c>
      <c r="C2" s="5" t="s">
        <v>181</v>
      </c>
      <c r="D2" s="5"/>
      <c r="E2" s="1"/>
      <c r="F2" s="44"/>
      <c r="G2" s="40"/>
      <c r="H2" s="40"/>
      <c r="I2" s="1"/>
      <c r="J2" s="5" t="s">
        <v>364</v>
      </c>
      <c r="K2" s="5"/>
      <c r="L2" s="1"/>
      <c r="M2" s="126"/>
      <c r="N2" s="1"/>
      <c r="O2" s="1"/>
      <c r="P2" s="5"/>
      <c r="Q2" s="13"/>
      <c r="R2" s="5"/>
      <c r="U2" s="1"/>
      <c r="X2" s="1"/>
      <c r="Y2" s="1"/>
      <c r="AB2" s="49"/>
      <c r="AC2" s="49"/>
      <c r="AI2" s="55"/>
      <c r="AJ2" s="1"/>
      <c r="AK2" s="55"/>
      <c r="AL2" s="55"/>
      <c r="AM2" s="55"/>
      <c r="AN2" s="55"/>
      <c r="AO2" s="55"/>
    </row>
    <row r="3" spans="1:58" s="2" customFormat="1" ht="14.1" customHeight="1" thickBot="1">
      <c r="A3" s="53"/>
      <c r="B3" s="231" t="s">
        <v>196</v>
      </c>
      <c r="C3" s="4" t="s">
        <v>365</v>
      </c>
      <c r="D3" s="4"/>
      <c r="E3" s="4"/>
      <c r="F3" s="45"/>
      <c r="G3" s="41"/>
      <c r="H3" s="41"/>
      <c r="I3" s="4"/>
      <c r="J3" s="4" t="s">
        <v>186</v>
      </c>
      <c r="K3" s="4"/>
      <c r="L3" s="4"/>
      <c r="M3" s="127"/>
      <c r="N3" s="4"/>
      <c r="O3" s="4"/>
      <c r="P3" s="4"/>
      <c r="Q3" s="15"/>
      <c r="R3" s="4"/>
      <c r="S3" s="16"/>
      <c r="T3" s="16"/>
      <c r="U3" s="4"/>
      <c r="V3" s="16"/>
      <c r="W3" s="16"/>
      <c r="X3" s="4"/>
      <c r="Y3" s="4"/>
      <c r="Z3" s="16"/>
      <c r="AA3" s="16"/>
      <c r="AB3" s="41"/>
      <c r="AC3" s="41"/>
      <c r="AD3" s="16"/>
      <c r="AE3" s="16"/>
      <c r="AF3" s="16"/>
      <c r="AG3" s="16"/>
      <c r="AH3" s="16"/>
      <c r="AI3" s="56"/>
      <c r="AJ3" s="4"/>
      <c r="AK3" s="56"/>
      <c r="AL3" s="56"/>
      <c r="AM3" s="56"/>
      <c r="AN3" s="56"/>
      <c r="AO3" s="56"/>
    </row>
    <row r="4" spans="1:58" s="2" customFormat="1" ht="14.1" customHeight="1">
      <c r="A4" s="14"/>
      <c r="B4" s="17"/>
      <c r="C4" s="17"/>
      <c r="D4" s="17"/>
      <c r="E4" s="5"/>
    </row>
    <row r="5" spans="1:58" ht="14.4" thickBot="1"/>
    <row r="6" spans="1:58" s="38" customFormat="1" ht="10.95" customHeight="1" thickTop="1">
      <c r="A6" s="104"/>
      <c r="B6" s="104" t="s">
        <v>67</v>
      </c>
      <c r="C6" s="104" t="s">
        <v>101</v>
      </c>
      <c r="D6" s="104" t="s">
        <v>106</v>
      </c>
      <c r="E6" s="105" t="s">
        <v>2</v>
      </c>
      <c r="F6" s="376" t="s">
        <v>42</v>
      </c>
      <c r="G6" s="377"/>
      <c r="H6" s="378" t="s">
        <v>70</v>
      </c>
      <c r="I6" s="378" t="s">
        <v>71</v>
      </c>
      <c r="J6" s="378" t="s">
        <v>45</v>
      </c>
      <c r="K6" s="380">
        <v>44197</v>
      </c>
      <c r="L6" s="381"/>
      <c r="M6" s="381"/>
      <c r="N6" s="382"/>
      <c r="O6" s="380">
        <v>44228</v>
      </c>
      <c r="P6" s="381"/>
      <c r="Q6" s="381"/>
      <c r="R6" s="382"/>
      <c r="S6" s="380">
        <v>44256</v>
      </c>
      <c r="T6" s="381"/>
      <c r="U6" s="381"/>
      <c r="V6" s="382"/>
      <c r="W6" s="380">
        <v>44287</v>
      </c>
      <c r="X6" s="381"/>
      <c r="Y6" s="381"/>
      <c r="Z6" s="382"/>
      <c r="AA6" s="380">
        <v>44317</v>
      </c>
      <c r="AB6" s="381"/>
      <c r="AC6" s="381"/>
      <c r="AD6" s="382"/>
      <c r="AE6" s="380">
        <v>44348</v>
      </c>
      <c r="AF6" s="381"/>
      <c r="AG6" s="381"/>
      <c r="AH6" s="382"/>
      <c r="AI6" s="380">
        <v>44378</v>
      </c>
      <c r="AJ6" s="381"/>
      <c r="AK6" s="381"/>
      <c r="AL6" s="382"/>
      <c r="AM6" s="380">
        <v>44409</v>
      </c>
      <c r="AN6" s="381"/>
      <c r="AO6" s="381"/>
      <c r="AP6" s="382"/>
      <c r="AQ6" s="380">
        <v>44440</v>
      </c>
      <c r="AR6" s="381"/>
      <c r="AS6" s="381"/>
      <c r="AT6" s="382"/>
      <c r="AU6" s="380">
        <v>44470</v>
      </c>
      <c r="AV6" s="381"/>
      <c r="AW6" s="381"/>
      <c r="AX6" s="382"/>
      <c r="AY6" s="380">
        <v>44501</v>
      </c>
      <c r="AZ6" s="381"/>
      <c r="BA6" s="381"/>
      <c r="BB6" s="382"/>
      <c r="BC6" s="380">
        <v>44531</v>
      </c>
      <c r="BD6" s="381"/>
      <c r="BE6" s="381"/>
      <c r="BF6" s="382"/>
    </row>
    <row r="7" spans="1:58" s="38" customFormat="1" ht="19.95" customHeight="1">
      <c r="A7" s="228"/>
      <c r="B7" s="228" t="s">
        <v>68</v>
      </c>
      <c r="C7" s="228" t="s">
        <v>102</v>
      </c>
      <c r="D7" s="228" t="s">
        <v>66</v>
      </c>
      <c r="E7" s="228" t="s">
        <v>85</v>
      </c>
      <c r="F7" s="229">
        <f ca="1">TODAY()</f>
        <v>44314</v>
      </c>
      <c r="G7" s="228" t="s">
        <v>69</v>
      </c>
      <c r="H7" s="379"/>
      <c r="I7" s="379"/>
      <c r="J7" s="379"/>
      <c r="K7" s="228" t="s">
        <v>20</v>
      </c>
      <c r="L7" s="228" t="s">
        <v>41</v>
      </c>
      <c r="M7" s="228" t="s">
        <v>43</v>
      </c>
      <c r="N7" s="228" t="s">
        <v>47</v>
      </c>
      <c r="O7" s="228" t="s">
        <v>20</v>
      </c>
      <c r="P7" s="228" t="s">
        <v>41</v>
      </c>
      <c r="Q7" s="228" t="s">
        <v>43</v>
      </c>
      <c r="R7" s="228" t="s">
        <v>47</v>
      </c>
      <c r="S7" s="228" t="s">
        <v>20</v>
      </c>
      <c r="T7" s="228" t="s">
        <v>41</v>
      </c>
      <c r="U7" s="228" t="s">
        <v>43</v>
      </c>
      <c r="V7" s="228" t="s">
        <v>47</v>
      </c>
      <c r="W7" s="228" t="s">
        <v>20</v>
      </c>
      <c r="X7" s="228" t="s">
        <v>41</v>
      </c>
      <c r="Y7" s="228" t="s">
        <v>43</v>
      </c>
      <c r="Z7" s="228" t="s">
        <v>47</v>
      </c>
      <c r="AA7" s="228" t="s">
        <v>20</v>
      </c>
      <c r="AB7" s="228" t="s">
        <v>41</v>
      </c>
      <c r="AC7" s="228" t="s">
        <v>43</v>
      </c>
      <c r="AD7" s="228" t="s">
        <v>47</v>
      </c>
      <c r="AE7" s="228" t="s">
        <v>20</v>
      </c>
      <c r="AF7" s="228" t="s">
        <v>41</v>
      </c>
      <c r="AG7" s="228" t="s">
        <v>43</v>
      </c>
      <c r="AH7" s="228" t="s">
        <v>47</v>
      </c>
      <c r="AI7" s="228" t="s">
        <v>20</v>
      </c>
      <c r="AJ7" s="228" t="s">
        <v>41</v>
      </c>
      <c r="AK7" s="228" t="s">
        <v>43</v>
      </c>
      <c r="AL7" s="228" t="s">
        <v>47</v>
      </c>
      <c r="AM7" s="228" t="s">
        <v>20</v>
      </c>
      <c r="AN7" s="228" t="s">
        <v>41</v>
      </c>
      <c r="AO7" s="228" t="s">
        <v>43</v>
      </c>
      <c r="AP7" s="228" t="s">
        <v>47</v>
      </c>
      <c r="AQ7" s="228" t="s">
        <v>20</v>
      </c>
      <c r="AR7" s="228" t="s">
        <v>41</v>
      </c>
      <c r="AS7" s="228" t="s">
        <v>43</v>
      </c>
      <c r="AT7" s="228" t="s">
        <v>47</v>
      </c>
      <c r="AU7" s="228" t="s">
        <v>20</v>
      </c>
      <c r="AV7" s="228" t="s">
        <v>41</v>
      </c>
      <c r="AW7" s="228" t="s">
        <v>43</v>
      </c>
      <c r="AX7" s="228" t="s">
        <v>47</v>
      </c>
      <c r="AY7" s="228" t="s">
        <v>20</v>
      </c>
      <c r="AZ7" s="228" t="s">
        <v>41</v>
      </c>
      <c r="BA7" s="228" t="s">
        <v>43</v>
      </c>
      <c r="BB7" s="228" t="s">
        <v>47</v>
      </c>
      <c r="BC7" s="228" t="s">
        <v>20</v>
      </c>
      <c r="BD7" s="228" t="s">
        <v>41</v>
      </c>
      <c r="BE7" s="228" t="s">
        <v>43</v>
      </c>
      <c r="BF7" s="228" t="s">
        <v>47</v>
      </c>
    </row>
    <row r="8" spans="1:58" s="115" customFormat="1" ht="12">
      <c r="A8" s="111"/>
      <c r="B8" s="112"/>
      <c r="C8" s="113"/>
      <c r="D8" s="113"/>
      <c r="E8" s="113"/>
      <c r="F8" s="113">
        <v>2021</v>
      </c>
      <c r="G8" s="113">
        <v>2020</v>
      </c>
      <c r="H8" s="113" t="s">
        <v>44</v>
      </c>
      <c r="I8" s="113" t="s">
        <v>46</v>
      </c>
      <c r="J8" s="113" t="s">
        <v>46</v>
      </c>
      <c r="K8" s="114">
        <v>44197</v>
      </c>
      <c r="L8" s="114">
        <v>44227</v>
      </c>
      <c r="M8" s="113"/>
      <c r="N8" s="113"/>
      <c r="O8" s="114">
        <f>O6</f>
        <v>44228</v>
      </c>
      <c r="P8" s="114">
        <v>44255</v>
      </c>
      <c r="Q8" s="113"/>
      <c r="R8" s="113"/>
      <c r="S8" s="114">
        <f>S6</f>
        <v>44256</v>
      </c>
      <c r="T8" s="114">
        <v>44286</v>
      </c>
      <c r="U8" s="113"/>
      <c r="V8" s="113"/>
      <c r="W8" s="114">
        <f>W6</f>
        <v>44287</v>
      </c>
      <c r="X8" s="114">
        <v>44316</v>
      </c>
      <c r="Y8" s="113"/>
      <c r="Z8" s="113"/>
      <c r="AA8" s="114">
        <f>AA6</f>
        <v>44317</v>
      </c>
      <c r="AB8" s="114">
        <v>44347</v>
      </c>
      <c r="AC8" s="113"/>
      <c r="AD8" s="113"/>
      <c r="AE8" s="114">
        <f>AE6</f>
        <v>44348</v>
      </c>
      <c r="AF8" s="114">
        <v>44377</v>
      </c>
      <c r="AG8" s="113"/>
      <c r="AH8" s="113"/>
      <c r="AI8" s="114">
        <f>AI6</f>
        <v>44378</v>
      </c>
      <c r="AJ8" s="114">
        <v>44408</v>
      </c>
      <c r="AK8" s="113"/>
      <c r="AL8" s="113"/>
      <c r="AM8" s="114">
        <f>AM6</f>
        <v>44409</v>
      </c>
      <c r="AN8" s="114">
        <v>44439</v>
      </c>
      <c r="AO8" s="113"/>
      <c r="AP8" s="113"/>
      <c r="AQ8" s="114">
        <f>AQ6</f>
        <v>44440</v>
      </c>
      <c r="AR8" s="114">
        <v>44469</v>
      </c>
      <c r="AS8" s="113"/>
      <c r="AT8" s="113"/>
      <c r="AU8" s="114">
        <f>AU6</f>
        <v>44470</v>
      </c>
      <c r="AV8" s="114">
        <v>44500</v>
      </c>
      <c r="AW8" s="113"/>
      <c r="AX8" s="113"/>
      <c r="AY8" s="114">
        <f>AY6</f>
        <v>44501</v>
      </c>
      <c r="AZ8" s="114">
        <v>44530</v>
      </c>
      <c r="BA8" s="113"/>
      <c r="BB8" s="113"/>
      <c r="BC8" s="114">
        <f>BC6</f>
        <v>44531</v>
      </c>
      <c r="BD8" s="114">
        <v>44561</v>
      </c>
      <c r="BE8" s="113"/>
      <c r="BF8" s="113"/>
    </row>
    <row r="9" spans="1:58" ht="14.4">
      <c r="A9" s="36">
        <v>1</v>
      </c>
      <c r="B9" s="234" t="s">
        <v>19</v>
      </c>
      <c r="C9" s="8" t="s">
        <v>148</v>
      </c>
      <c r="D9" s="8" t="s">
        <v>162</v>
      </c>
      <c r="E9" s="8">
        <v>40848</v>
      </c>
      <c r="F9" s="34">
        <f t="shared" ref="F9:F32" ca="1" si="0">IF(E9="",0,MONTH(TODAY()))</f>
        <v>4</v>
      </c>
      <c r="G9" s="34">
        <v>0</v>
      </c>
      <c r="H9" s="34">
        <f t="shared" ref="H9:H32" ca="1" si="1">F9+G9</f>
        <v>4</v>
      </c>
      <c r="I9" s="34">
        <f t="shared" ref="I9:I32" si="2">SUM(L9,P9,T9,X9,AB9,AF9,AJ9,AN9,AR9,AV9,AZ9,BD9)</f>
        <v>0</v>
      </c>
      <c r="J9" s="34">
        <f t="shared" ref="J9:J32" ca="1" si="3">H9-I9</f>
        <v>4</v>
      </c>
      <c r="K9" s="34">
        <f t="shared" ref="K9:K32" si="4">IF($E9="",0,NETWORKDAYS(K$8,L$8)-M$8+(NETWORKDAYS.INTL($K$8,$L$8,11)-NETWORKDAYS($K$8,$L$8))/2)</f>
        <v>23.5</v>
      </c>
      <c r="L9" s="8"/>
      <c r="M9" s="8"/>
      <c r="N9" s="8"/>
      <c r="O9" s="34">
        <f t="shared" ref="O9:O32" si="5">IF($E9="",0,NETWORKDAYS(O$8,P$8)-Q$8+(NETWORKDAYS.INTL($K$8,$L$8,11)-NETWORKDAYS($K$8,$L$8))/2)</f>
        <v>22.5</v>
      </c>
      <c r="P9" s="8"/>
      <c r="Q9" s="8"/>
      <c r="R9" s="8"/>
      <c r="S9" s="34">
        <f t="shared" ref="S9:S32" si="6">IF($E9="",0,NETWORKDAYS(S$8,T$8)-U$8+(NETWORKDAYS.INTL($K$8,$L$8,11)-NETWORKDAYS($K$8,$L$8))/2)</f>
        <v>25.5</v>
      </c>
      <c r="T9" s="8"/>
      <c r="U9" s="8"/>
      <c r="V9" s="8"/>
      <c r="W9" s="34">
        <f t="shared" ref="W9:W32" si="7">IF($E9="",0,NETWORKDAYS(W$8,X$8)-Y$8+(NETWORKDAYS.INTL($K$8,$L$8,11)-NETWORKDAYS($K$8,$L$8))/2)</f>
        <v>24.5</v>
      </c>
      <c r="X9" s="8"/>
      <c r="Y9" s="8"/>
      <c r="Z9" s="8"/>
      <c r="AA9" s="34">
        <f t="shared" ref="AA9:AA32" si="8">IF($E9="",0,NETWORKDAYS(AA$8,AB$8)-AC$8+(NETWORKDAYS.INTL($K$8,$L$8,11)-NETWORKDAYS($K$8,$L$8))/2)</f>
        <v>23.5</v>
      </c>
      <c r="AB9" s="8"/>
      <c r="AC9" s="8"/>
      <c r="AD9" s="8"/>
      <c r="AE9" s="34">
        <f t="shared" ref="AE9:AE32" si="9">IF($E9="",0,NETWORKDAYS(AE$8,AF$8)-AG$8+(NETWORKDAYS.INTL($K$8,$L$8,11)-NETWORKDAYS($K$8,$L$8))/2)</f>
        <v>24.5</v>
      </c>
      <c r="AF9" s="8"/>
      <c r="AG9" s="8"/>
      <c r="AH9" s="8"/>
      <c r="AI9" s="34">
        <f t="shared" ref="AI9:AI32" si="10">IF($E9="",0,NETWORKDAYS(AI$8,AJ$8)-AK$8+(NETWORKDAYS.INTL($K$8,$L$8,11)-NETWORKDAYS($K$8,$L$8))/2)</f>
        <v>24.5</v>
      </c>
      <c r="AJ9" s="8"/>
      <c r="AK9" s="8"/>
      <c r="AL9" s="8"/>
      <c r="AM9" s="34">
        <f t="shared" ref="AM9:AM32" si="11">IF($E9="",0,NETWORKDAYS(AM$8,AN$8)-AO$8+(NETWORKDAYS.INTL($K$8,$L$8,11)-NETWORKDAYS($K$8,$L$8))/2)</f>
        <v>24.5</v>
      </c>
      <c r="AN9" s="8"/>
      <c r="AO9" s="8"/>
      <c r="AP9" s="8"/>
      <c r="AQ9" s="34">
        <f t="shared" ref="AQ9:AQ32" si="12">IF($E9="",0,NETWORKDAYS(AQ$8,AR$8)-AS$8+(NETWORKDAYS.INTL($K$8,$L$8,11)-NETWORKDAYS($K$8,$L$8))/2)</f>
        <v>24.5</v>
      </c>
      <c r="AR9" s="8"/>
      <c r="AS9" s="8"/>
      <c r="AT9" s="8"/>
      <c r="AU9" s="34">
        <f t="shared" ref="AU9:AU32" si="13">IF($E9="",0,NETWORKDAYS(AU$8,AV$8)-AW$8+(NETWORKDAYS.INTL($K$8,$L$8,11)-NETWORKDAYS($K$8,$L$8))/2)</f>
        <v>23.5</v>
      </c>
      <c r="AV9" s="8"/>
      <c r="AW9" s="8"/>
      <c r="AX9" s="8"/>
      <c r="AY9" s="34">
        <v>24</v>
      </c>
      <c r="AZ9" s="8"/>
      <c r="BA9" s="8"/>
      <c r="BB9" s="8"/>
      <c r="BC9" s="34">
        <f t="shared" ref="BC9:BC32" si="14">IF($E9="",0,NETWORKDAYS(BC$8,BD$8)-BE$8+(NETWORKDAYS.INTL($K$8,$L$8,11)-NETWORKDAYS($K$8,$L$8))/2)</f>
        <v>25.5</v>
      </c>
      <c r="BD9" s="8"/>
      <c r="BE9" s="8"/>
      <c r="BF9" s="8"/>
    </row>
    <row r="10" spans="1:58" ht="14.4">
      <c r="A10" s="36">
        <v>2</v>
      </c>
      <c r="B10" s="234" t="s">
        <v>89</v>
      </c>
      <c r="C10" s="8" t="s">
        <v>148</v>
      </c>
      <c r="D10" s="8" t="s">
        <v>150</v>
      </c>
      <c r="E10" s="8">
        <v>40848</v>
      </c>
      <c r="F10" s="34">
        <f t="shared" ref="F10" ca="1" si="15">IF(E10="",0,MONTH(TODAY()))</f>
        <v>4</v>
      </c>
      <c r="G10" s="34">
        <v>0</v>
      </c>
      <c r="H10" s="34">
        <f t="shared" ref="H10" ca="1" si="16">F10+G10</f>
        <v>4</v>
      </c>
      <c r="I10" s="34">
        <f t="shared" ref="I10" si="17">SUM(L10,P10,T10,X10,AB10,AF10,AJ10,AN10,AR10,AV10,AZ10,BD10)</f>
        <v>0</v>
      </c>
      <c r="J10" s="34">
        <f t="shared" ref="J10" ca="1" si="18">H10-I10</f>
        <v>4</v>
      </c>
      <c r="K10" s="34">
        <f>IF($E10="",0,NETWORKDAYS(K$8,L$8)-M$8+(NETWORKDAYS.INTL($K$8,$L$8,11)-NETWORKDAYS($K$8,$L$8))/2)</f>
        <v>23.5</v>
      </c>
      <c r="L10" s="8"/>
      <c r="M10" s="8"/>
      <c r="N10" s="8"/>
      <c r="O10" s="34">
        <f>IF($E10="",0,NETWORKDAYS(O$8,P$8)-Q$8+(NETWORKDAYS.INTL($K$8,$L$8,11)-NETWORKDAYS($K$8,$L$8))/2)</f>
        <v>22.5</v>
      </c>
      <c r="P10" s="8"/>
      <c r="Q10" s="8"/>
      <c r="R10" s="8"/>
      <c r="S10" s="34">
        <f>IF($E10="",0,NETWORKDAYS(S$8,T$8)-U$8+(NETWORKDAYS.INTL($K$8,$L$8,11)-NETWORKDAYS($K$8,$L$8))/2)</f>
        <v>25.5</v>
      </c>
      <c r="T10" s="8"/>
      <c r="U10" s="8"/>
      <c r="V10" s="8"/>
      <c r="W10" s="34">
        <f>IF($E10="",0,NETWORKDAYS(W$8,X$8)-Y$8+(NETWORKDAYS.INTL($K$8,$L$8,11)-NETWORKDAYS($K$8,$L$8))/2)</f>
        <v>24.5</v>
      </c>
      <c r="X10" s="8"/>
      <c r="Y10" s="8"/>
      <c r="Z10" s="8"/>
      <c r="AA10" s="34">
        <f>IF($E10="",0,NETWORKDAYS(AA$8,AB$8)-AC$8+(NETWORKDAYS.INTL($K$8,$L$8,11)-NETWORKDAYS($K$8,$L$8))/2)</f>
        <v>23.5</v>
      </c>
      <c r="AB10" s="8"/>
      <c r="AC10" s="8"/>
      <c r="AD10" s="8"/>
      <c r="AE10" s="34">
        <f>IF($E10="",0,NETWORKDAYS(AE$8,AF$8)-AG$8+(NETWORKDAYS.INTL($K$8,$L$8,11)-NETWORKDAYS($K$8,$L$8))/2)</f>
        <v>24.5</v>
      </c>
      <c r="AF10" s="8"/>
      <c r="AG10" s="8"/>
      <c r="AH10" s="8"/>
      <c r="AI10" s="34">
        <f>IF($E10="",0,NETWORKDAYS(AI$8,AJ$8)-AK$8+(NETWORKDAYS.INTL($K$8,$L$8,11)-NETWORKDAYS($K$8,$L$8))/2)</f>
        <v>24.5</v>
      </c>
      <c r="AJ10" s="8"/>
      <c r="AK10" s="8"/>
      <c r="AL10" s="8"/>
      <c r="AM10" s="34">
        <f>IF($E10="",0,NETWORKDAYS(AM$8,AN$8)-AO$8+(NETWORKDAYS.INTL($K$8,$L$8,11)-NETWORKDAYS($K$8,$L$8))/2)</f>
        <v>24.5</v>
      </c>
      <c r="AN10" s="8"/>
      <c r="AO10" s="8"/>
      <c r="AP10" s="8"/>
      <c r="AQ10" s="34">
        <f>IF($E10="",0,NETWORKDAYS(AQ$8,AR$8)-AS$8+(NETWORKDAYS.INTL($K$8,$L$8,11)-NETWORKDAYS($K$8,$L$8))/2)</f>
        <v>24.5</v>
      </c>
      <c r="AR10" s="8"/>
      <c r="AS10" s="8"/>
      <c r="AT10" s="8"/>
      <c r="AU10" s="34">
        <f>IF($E10="",0,NETWORKDAYS(AU$8,AV$8)-AW$8+(NETWORKDAYS.INTL($K$8,$L$8,11)-NETWORKDAYS($K$8,$L$8))/2)</f>
        <v>23.5</v>
      </c>
      <c r="AV10" s="8"/>
      <c r="AW10" s="8"/>
      <c r="AX10" s="8"/>
      <c r="AY10" s="34">
        <v>24</v>
      </c>
      <c r="AZ10" s="8"/>
      <c r="BA10" s="8"/>
      <c r="BB10" s="8"/>
      <c r="BC10" s="34">
        <f>IF($E10="",0,NETWORKDAYS(BC$8,BD$8)-BE$8+(NETWORKDAYS.INTL($K$8,$L$8,11)-NETWORKDAYS($K$8,$L$8))/2)</f>
        <v>25.5</v>
      </c>
      <c r="BD10" s="8"/>
      <c r="BE10" s="8"/>
      <c r="BF10" s="8"/>
    </row>
    <row r="11" spans="1:58" ht="14.4">
      <c r="A11" s="36">
        <v>3</v>
      </c>
      <c r="B11" s="234" t="s">
        <v>49</v>
      </c>
      <c r="C11" s="8" t="s">
        <v>148</v>
      </c>
      <c r="D11" s="8" t="s">
        <v>163</v>
      </c>
      <c r="E11" s="8">
        <v>41334</v>
      </c>
      <c r="F11" s="34">
        <f t="shared" ca="1" si="0"/>
        <v>4</v>
      </c>
      <c r="G11" s="34">
        <v>0</v>
      </c>
      <c r="H11" s="34">
        <f t="shared" ca="1" si="1"/>
        <v>4</v>
      </c>
      <c r="I11" s="34">
        <f t="shared" si="2"/>
        <v>0</v>
      </c>
      <c r="J11" s="34">
        <f t="shared" ca="1" si="3"/>
        <v>4</v>
      </c>
      <c r="K11" s="34">
        <f t="shared" si="4"/>
        <v>23.5</v>
      </c>
      <c r="L11" s="8"/>
      <c r="M11" s="8"/>
      <c r="N11" s="8"/>
      <c r="O11" s="34">
        <f t="shared" si="5"/>
        <v>22.5</v>
      </c>
      <c r="P11" s="8"/>
      <c r="Q11" s="8"/>
      <c r="R11" s="8"/>
      <c r="S11" s="34">
        <f t="shared" si="6"/>
        <v>25.5</v>
      </c>
      <c r="T11" s="8"/>
      <c r="U11" s="8"/>
      <c r="V11" s="8"/>
      <c r="W11" s="34">
        <f t="shared" si="7"/>
        <v>24.5</v>
      </c>
      <c r="X11" s="8"/>
      <c r="Y11" s="8"/>
      <c r="Z11" s="8"/>
      <c r="AA11" s="34">
        <f t="shared" si="8"/>
        <v>23.5</v>
      </c>
      <c r="AB11" s="8"/>
      <c r="AC11" s="8"/>
      <c r="AD11" s="8"/>
      <c r="AE11" s="34">
        <f t="shared" si="9"/>
        <v>24.5</v>
      </c>
      <c r="AF11" s="8"/>
      <c r="AG11" s="8"/>
      <c r="AH11" s="8"/>
      <c r="AI11" s="34">
        <f t="shared" si="10"/>
        <v>24.5</v>
      </c>
      <c r="AJ11" s="8"/>
      <c r="AK11" s="8"/>
      <c r="AL11" s="8"/>
      <c r="AM11" s="34">
        <f t="shared" si="11"/>
        <v>24.5</v>
      </c>
      <c r="AN11" s="8"/>
      <c r="AO11" s="8"/>
      <c r="AP11" s="8"/>
      <c r="AQ11" s="34">
        <f t="shared" si="12"/>
        <v>24.5</v>
      </c>
      <c r="AR11" s="8"/>
      <c r="AS11" s="8"/>
      <c r="AT11" s="8"/>
      <c r="AU11" s="34">
        <f t="shared" si="13"/>
        <v>23.5</v>
      </c>
      <c r="AV11" s="8"/>
      <c r="AW11" s="8"/>
      <c r="AX11" s="8"/>
      <c r="AY11" s="34">
        <v>24</v>
      </c>
      <c r="AZ11" s="8"/>
      <c r="BA11" s="8"/>
      <c r="BB11" s="8"/>
      <c r="BC11" s="34">
        <f t="shared" si="14"/>
        <v>25.5</v>
      </c>
      <c r="BD11" s="8"/>
      <c r="BE11" s="8"/>
      <c r="BF11" s="8"/>
    </row>
    <row r="12" spans="1:58" ht="14.4">
      <c r="A12" s="36">
        <v>4</v>
      </c>
      <c r="B12" s="234" t="s">
        <v>114</v>
      </c>
      <c r="C12" s="8" t="s">
        <v>168</v>
      </c>
      <c r="D12" s="8" t="s">
        <v>169</v>
      </c>
      <c r="E12" s="8">
        <v>42492</v>
      </c>
      <c r="F12" s="34">
        <f t="shared" ca="1" si="0"/>
        <v>4</v>
      </c>
      <c r="G12" s="34">
        <v>0</v>
      </c>
      <c r="H12" s="34">
        <f t="shared" ca="1" si="1"/>
        <v>4</v>
      </c>
      <c r="I12" s="34">
        <f t="shared" si="2"/>
        <v>0</v>
      </c>
      <c r="J12" s="34">
        <f t="shared" ca="1" si="3"/>
        <v>4</v>
      </c>
      <c r="K12" s="34">
        <f t="shared" si="4"/>
        <v>23.5</v>
      </c>
      <c r="L12" s="8"/>
      <c r="M12" s="8"/>
      <c r="N12" s="8"/>
      <c r="O12" s="34">
        <f t="shared" si="5"/>
        <v>22.5</v>
      </c>
      <c r="P12" s="8"/>
      <c r="Q12" s="8"/>
      <c r="R12" s="8"/>
      <c r="S12" s="34">
        <f t="shared" si="6"/>
        <v>25.5</v>
      </c>
      <c r="T12" s="8"/>
      <c r="U12" s="8"/>
      <c r="V12" s="8"/>
      <c r="W12" s="34">
        <f t="shared" si="7"/>
        <v>24.5</v>
      </c>
      <c r="X12" s="8"/>
      <c r="Y12" s="8"/>
      <c r="Z12" s="8"/>
      <c r="AA12" s="34">
        <f t="shared" si="8"/>
        <v>23.5</v>
      </c>
      <c r="AB12" s="8"/>
      <c r="AC12" s="8"/>
      <c r="AD12" s="8"/>
      <c r="AE12" s="34">
        <f t="shared" si="9"/>
        <v>24.5</v>
      </c>
      <c r="AF12" s="8"/>
      <c r="AG12" s="8"/>
      <c r="AH12" s="8"/>
      <c r="AI12" s="34">
        <f t="shared" si="10"/>
        <v>24.5</v>
      </c>
      <c r="AJ12" s="8"/>
      <c r="AK12" s="8"/>
      <c r="AL12" s="8"/>
      <c r="AM12" s="34">
        <f t="shared" si="11"/>
        <v>24.5</v>
      </c>
      <c r="AN12" s="8"/>
      <c r="AO12" s="8"/>
      <c r="AP12" s="8"/>
      <c r="AQ12" s="34">
        <f t="shared" si="12"/>
        <v>24.5</v>
      </c>
      <c r="AR12" s="8"/>
      <c r="AS12" s="8"/>
      <c r="AT12" s="8"/>
      <c r="AU12" s="34">
        <f t="shared" si="13"/>
        <v>23.5</v>
      </c>
      <c r="AV12" s="8"/>
      <c r="AW12" s="8"/>
      <c r="AX12" s="8"/>
      <c r="AY12" s="34">
        <v>24</v>
      </c>
      <c r="AZ12" s="8"/>
      <c r="BA12" s="8"/>
      <c r="BB12" s="8"/>
      <c r="BC12" s="34">
        <f t="shared" si="14"/>
        <v>25.5</v>
      </c>
      <c r="BD12" s="8"/>
      <c r="BE12" s="8"/>
      <c r="BF12" s="8"/>
    </row>
    <row r="13" spans="1:58" ht="14.4">
      <c r="A13" s="36">
        <v>5</v>
      </c>
      <c r="B13" s="234" t="s">
        <v>122</v>
      </c>
      <c r="C13" s="8" t="s">
        <v>168</v>
      </c>
      <c r="D13" s="8" t="s">
        <v>170</v>
      </c>
      <c r="E13" s="8">
        <v>42114</v>
      </c>
      <c r="F13" s="34">
        <f t="shared" ca="1" si="0"/>
        <v>4</v>
      </c>
      <c r="G13" s="34">
        <v>0</v>
      </c>
      <c r="H13" s="34">
        <f t="shared" ca="1" si="1"/>
        <v>4</v>
      </c>
      <c r="I13" s="34">
        <f t="shared" si="2"/>
        <v>0</v>
      </c>
      <c r="J13" s="34">
        <f t="shared" ca="1" si="3"/>
        <v>4</v>
      </c>
      <c r="K13" s="34">
        <f t="shared" si="4"/>
        <v>23.5</v>
      </c>
      <c r="L13" s="8"/>
      <c r="M13" s="8"/>
      <c r="N13" s="8"/>
      <c r="O13" s="34">
        <f t="shared" si="5"/>
        <v>22.5</v>
      </c>
      <c r="P13" s="8"/>
      <c r="Q13" s="8"/>
      <c r="R13" s="8"/>
      <c r="S13" s="34">
        <f t="shared" si="6"/>
        <v>25.5</v>
      </c>
      <c r="T13" s="8"/>
      <c r="U13" s="8"/>
      <c r="V13" s="8"/>
      <c r="W13" s="34">
        <f t="shared" si="7"/>
        <v>24.5</v>
      </c>
      <c r="X13" s="8"/>
      <c r="Y13" s="8"/>
      <c r="Z13" s="8"/>
      <c r="AA13" s="34">
        <f t="shared" si="8"/>
        <v>23.5</v>
      </c>
      <c r="AB13" s="8"/>
      <c r="AC13" s="8"/>
      <c r="AD13" s="8"/>
      <c r="AE13" s="34">
        <f t="shared" si="9"/>
        <v>24.5</v>
      </c>
      <c r="AF13" s="8"/>
      <c r="AG13" s="8"/>
      <c r="AH13" s="8"/>
      <c r="AI13" s="34">
        <f t="shared" si="10"/>
        <v>24.5</v>
      </c>
      <c r="AJ13" s="8"/>
      <c r="AK13" s="8"/>
      <c r="AL13" s="8"/>
      <c r="AM13" s="34">
        <f t="shared" si="11"/>
        <v>24.5</v>
      </c>
      <c r="AN13" s="8"/>
      <c r="AO13" s="8"/>
      <c r="AP13" s="8"/>
      <c r="AQ13" s="34">
        <f t="shared" si="12"/>
        <v>24.5</v>
      </c>
      <c r="AR13" s="8"/>
      <c r="AS13" s="8"/>
      <c r="AT13" s="8"/>
      <c r="AU13" s="34">
        <f t="shared" si="13"/>
        <v>23.5</v>
      </c>
      <c r="AV13" s="8"/>
      <c r="AW13" s="8"/>
      <c r="AX13" s="8"/>
      <c r="AY13" s="34">
        <v>24</v>
      </c>
      <c r="AZ13" s="8"/>
      <c r="BA13" s="8"/>
      <c r="BB13" s="8"/>
      <c r="BC13" s="34">
        <f t="shared" si="14"/>
        <v>25.5</v>
      </c>
      <c r="BD13" s="8"/>
      <c r="BE13" s="8"/>
      <c r="BF13" s="8"/>
    </row>
    <row r="14" spans="1:58" ht="14.4">
      <c r="A14" s="36">
        <v>6</v>
      </c>
      <c r="B14" s="234" t="s">
        <v>280</v>
      </c>
      <c r="C14" s="8" t="s">
        <v>168</v>
      </c>
      <c r="D14" s="8" t="s">
        <v>170</v>
      </c>
      <c r="E14" s="8">
        <v>43619</v>
      </c>
      <c r="F14" s="34">
        <f t="shared" ca="1" si="0"/>
        <v>4</v>
      </c>
      <c r="G14" s="34">
        <v>0</v>
      </c>
      <c r="H14" s="34">
        <f t="shared" ca="1" si="1"/>
        <v>4</v>
      </c>
      <c r="I14" s="34">
        <f t="shared" si="2"/>
        <v>0</v>
      </c>
      <c r="J14" s="34">
        <f t="shared" ca="1" si="3"/>
        <v>4</v>
      </c>
      <c r="K14" s="34">
        <f t="shared" si="4"/>
        <v>23.5</v>
      </c>
      <c r="L14" s="8"/>
      <c r="M14" s="8"/>
      <c r="N14" s="8"/>
      <c r="O14" s="34">
        <f t="shared" si="5"/>
        <v>22.5</v>
      </c>
      <c r="P14" s="8"/>
      <c r="Q14" s="8"/>
      <c r="R14" s="8"/>
      <c r="S14" s="34">
        <f t="shared" si="6"/>
        <v>25.5</v>
      </c>
      <c r="T14" s="8"/>
      <c r="U14" s="8"/>
      <c r="V14" s="8"/>
      <c r="W14" s="34">
        <f t="shared" si="7"/>
        <v>24.5</v>
      </c>
      <c r="X14" s="8"/>
      <c r="Y14" s="8"/>
      <c r="Z14" s="8"/>
      <c r="AA14" s="34">
        <f t="shared" si="8"/>
        <v>23.5</v>
      </c>
      <c r="AB14" s="8"/>
      <c r="AC14" s="8"/>
      <c r="AD14" s="8"/>
      <c r="AE14" s="34">
        <f t="shared" si="9"/>
        <v>24.5</v>
      </c>
      <c r="AF14" s="8"/>
      <c r="AG14" s="8"/>
      <c r="AH14" s="8"/>
      <c r="AI14" s="34">
        <f t="shared" si="10"/>
        <v>24.5</v>
      </c>
      <c r="AJ14" s="8"/>
      <c r="AK14" s="8"/>
      <c r="AL14" s="8"/>
      <c r="AM14" s="34">
        <f t="shared" si="11"/>
        <v>24.5</v>
      </c>
      <c r="AN14" s="8"/>
      <c r="AO14" s="8"/>
      <c r="AP14" s="8"/>
      <c r="AQ14" s="34">
        <f t="shared" si="12"/>
        <v>24.5</v>
      </c>
      <c r="AR14" s="8"/>
      <c r="AS14" s="8"/>
      <c r="AT14" s="8"/>
      <c r="AU14" s="34">
        <f t="shared" si="13"/>
        <v>23.5</v>
      </c>
      <c r="AV14" s="8"/>
      <c r="AW14" s="8"/>
      <c r="AX14" s="8"/>
      <c r="AY14" s="34">
        <v>24</v>
      </c>
      <c r="AZ14" s="8"/>
      <c r="BA14" s="8"/>
      <c r="BB14" s="8"/>
      <c r="BC14" s="34">
        <f t="shared" si="14"/>
        <v>25.5</v>
      </c>
      <c r="BD14" s="8"/>
      <c r="BE14" s="8"/>
      <c r="BF14" s="8"/>
    </row>
    <row r="15" spans="1:58" ht="14.4">
      <c r="A15" s="36">
        <v>7</v>
      </c>
      <c r="B15" s="234" t="s">
        <v>120</v>
      </c>
      <c r="C15" s="8" t="s">
        <v>168</v>
      </c>
      <c r="D15" s="8" t="s">
        <v>194</v>
      </c>
      <c r="E15" s="8">
        <v>40848</v>
      </c>
      <c r="F15" s="34">
        <f t="shared" ca="1" si="0"/>
        <v>4</v>
      </c>
      <c r="G15" s="34">
        <v>0</v>
      </c>
      <c r="H15" s="34">
        <f t="shared" ca="1" si="1"/>
        <v>4</v>
      </c>
      <c r="I15" s="34">
        <f t="shared" si="2"/>
        <v>0</v>
      </c>
      <c r="J15" s="34">
        <f t="shared" ca="1" si="3"/>
        <v>4</v>
      </c>
      <c r="K15" s="34">
        <f t="shared" si="4"/>
        <v>23.5</v>
      </c>
      <c r="L15" s="8"/>
      <c r="M15" s="8"/>
      <c r="N15" s="8"/>
      <c r="O15" s="34">
        <f t="shared" si="5"/>
        <v>22.5</v>
      </c>
      <c r="P15" s="8"/>
      <c r="Q15" s="8"/>
      <c r="R15" s="8"/>
      <c r="S15" s="34">
        <f t="shared" si="6"/>
        <v>25.5</v>
      </c>
      <c r="T15" s="8"/>
      <c r="U15" s="8"/>
      <c r="V15" s="8"/>
      <c r="W15" s="34">
        <f t="shared" si="7"/>
        <v>24.5</v>
      </c>
      <c r="X15" s="8"/>
      <c r="Y15" s="8"/>
      <c r="Z15" s="8"/>
      <c r="AA15" s="34">
        <f t="shared" si="8"/>
        <v>23.5</v>
      </c>
      <c r="AB15" s="8"/>
      <c r="AC15" s="8"/>
      <c r="AD15" s="8"/>
      <c r="AE15" s="34">
        <f t="shared" si="9"/>
        <v>24.5</v>
      </c>
      <c r="AF15" s="8"/>
      <c r="AG15" s="8"/>
      <c r="AH15" s="8"/>
      <c r="AI15" s="34">
        <f t="shared" si="10"/>
        <v>24.5</v>
      </c>
      <c r="AJ15" s="8"/>
      <c r="AK15" s="8"/>
      <c r="AL15" s="8"/>
      <c r="AM15" s="34">
        <f t="shared" si="11"/>
        <v>24.5</v>
      </c>
      <c r="AN15" s="8"/>
      <c r="AO15" s="8"/>
      <c r="AP15" s="8"/>
      <c r="AQ15" s="34">
        <f t="shared" si="12"/>
        <v>24.5</v>
      </c>
      <c r="AR15" s="8"/>
      <c r="AS15" s="8"/>
      <c r="AT15" s="8"/>
      <c r="AU15" s="34">
        <f t="shared" si="13"/>
        <v>23.5</v>
      </c>
      <c r="AV15" s="8"/>
      <c r="AW15" s="8"/>
      <c r="AX15" s="8"/>
      <c r="AY15" s="34">
        <v>24</v>
      </c>
      <c r="AZ15" s="8"/>
      <c r="BA15" s="8"/>
      <c r="BB15" s="8"/>
      <c r="BC15" s="34">
        <f t="shared" si="14"/>
        <v>25.5</v>
      </c>
      <c r="BD15" s="8"/>
      <c r="BE15" s="8"/>
      <c r="BF15" s="8"/>
    </row>
    <row r="16" spans="1:58" ht="14.4">
      <c r="A16" s="36">
        <v>8</v>
      </c>
      <c r="B16" s="234" t="s">
        <v>124</v>
      </c>
      <c r="C16" s="8" t="s">
        <v>168</v>
      </c>
      <c r="D16" s="8" t="s">
        <v>194</v>
      </c>
      <c r="E16" s="8">
        <v>41855</v>
      </c>
      <c r="F16" s="34">
        <f t="shared" ca="1" si="0"/>
        <v>4</v>
      </c>
      <c r="G16" s="34">
        <v>0</v>
      </c>
      <c r="H16" s="34">
        <f t="shared" ca="1" si="1"/>
        <v>4</v>
      </c>
      <c r="I16" s="34">
        <f t="shared" si="2"/>
        <v>0</v>
      </c>
      <c r="J16" s="34">
        <f t="shared" ca="1" si="3"/>
        <v>4</v>
      </c>
      <c r="K16" s="34">
        <f t="shared" si="4"/>
        <v>23.5</v>
      </c>
      <c r="L16" s="8"/>
      <c r="M16" s="8"/>
      <c r="N16" s="8"/>
      <c r="O16" s="34">
        <f t="shared" si="5"/>
        <v>22.5</v>
      </c>
      <c r="P16" s="8"/>
      <c r="Q16" s="8"/>
      <c r="R16" s="8"/>
      <c r="S16" s="34">
        <f t="shared" si="6"/>
        <v>25.5</v>
      </c>
      <c r="T16" s="8"/>
      <c r="U16" s="8"/>
      <c r="V16" s="8"/>
      <c r="W16" s="34">
        <f t="shared" si="7"/>
        <v>24.5</v>
      </c>
      <c r="X16" s="8"/>
      <c r="Y16" s="8"/>
      <c r="Z16" s="8"/>
      <c r="AA16" s="34">
        <f t="shared" si="8"/>
        <v>23.5</v>
      </c>
      <c r="AB16" s="8"/>
      <c r="AC16" s="8"/>
      <c r="AD16" s="8"/>
      <c r="AE16" s="34">
        <f t="shared" si="9"/>
        <v>24.5</v>
      </c>
      <c r="AF16" s="8"/>
      <c r="AG16" s="8"/>
      <c r="AH16" s="8"/>
      <c r="AI16" s="34">
        <f t="shared" si="10"/>
        <v>24.5</v>
      </c>
      <c r="AJ16" s="8"/>
      <c r="AK16" s="8"/>
      <c r="AL16" s="8"/>
      <c r="AM16" s="34">
        <f t="shared" si="11"/>
        <v>24.5</v>
      </c>
      <c r="AN16" s="8"/>
      <c r="AO16" s="8"/>
      <c r="AP16" s="8"/>
      <c r="AQ16" s="34">
        <f t="shared" si="12"/>
        <v>24.5</v>
      </c>
      <c r="AR16" s="8"/>
      <c r="AS16" s="8"/>
      <c r="AT16" s="8"/>
      <c r="AU16" s="34">
        <f t="shared" si="13"/>
        <v>23.5</v>
      </c>
      <c r="AV16" s="8"/>
      <c r="AW16" s="8"/>
      <c r="AX16" s="8"/>
      <c r="AY16" s="34">
        <v>24</v>
      </c>
      <c r="AZ16" s="8"/>
      <c r="BA16" s="8"/>
      <c r="BB16" s="8"/>
      <c r="BC16" s="34">
        <f t="shared" si="14"/>
        <v>25.5</v>
      </c>
      <c r="BD16" s="8"/>
      <c r="BE16" s="8"/>
      <c r="BF16" s="8"/>
    </row>
    <row r="17" spans="1:58" ht="14.4">
      <c r="A17" s="36">
        <v>9</v>
      </c>
      <c r="B17" s="234" t="s">
        <v>116</v>
      </c>
      <c r="C17" s="8" t="s">
        <v>168</v>
      </c>
      <c r="D17" s="8" t="s">
        <v>193</v>
      </c>
      <c r="E17" s="8">
        <v>42736</v>
      </c>
      <c r="F17" s="34">
        <f t="shared" ca="1" si="0"/>
        <v>4</v>
      </c>
      <c r="G17" s="34">
        <v>0</v>
      </c>
      <c r="H17" s="34">
        <f t="shared" ca="1" si="1"/>
        <v>4</v>
      </c>
      <c r="I17" s="34">
        <f t="shared" si="2"/>
        <v>0</v>
      </c>
      <c r="J17" s="34">
        <f t="shared" ca="1" si="3"/>
        <v>4</v>
      </c>
      <c r="K17" s="34">
        <f t="shared" si="4"/>
        <v>23.5</v>
      </c>
      <c r="L17" s="8"/>
      <c r="M17" s="8"/>
      <c r="N17" s="8"/>
      <c r="O17" s="34">
        <f t="shared" si="5"/>
        <v>22.5</v>
      </c>
      <c r="P17" s="8"/>
      <c r="Q17" s="8"/>
      <c r="R17" s="8"/>
      <c r="S17" s="34">
        <f t="shared" si="6"/>
        <v>25.5</v>
      </c>
      <c r="T17" s="8"/>
      <c r="U17" s="8"/>
      <c r="V17" s="8"/>
      <c r="W17" s="34">
        <f t="shared" si="7"/>
        <v>24.5</v>
      </c>
      <c r="X17" s="8"/>
      <c r="Y17" s="8"/>
      <c r="Z17" s="8"/>
      <c r="AA17" s="34">
        <f t="shared" si="8"/>
        <v>23.5</v>
      </c>
      <c r="AB17" s="8"/>
      <c r="AC17" s="8"/>
      <c r="AD17" s="8"/>
      <c r="AE17" s="34">
        <f t="shared" si="9"/>
        <v>24.5</v>
      </c>
      <c r="AF17" s="8"/>
      <c r="AG17" s="8"/>
      <c r="AH17" s="8"/>
      <c r="AI17" s="34">
        <f t="shared" si="10"/>
        <v>24.5</v>
      </c>
      <c r="AJ17" s="8"/>
      <c r="AK17" s="8"/>
      <c r="AL17" s="8"/>
      <c r="AM17" s="34">
        <f t="shared" si="11"/>
        <v>24.5</v>
      </c>
      <c r="AN17" s="8"/>
      <c r="AO17" s="8"/>
      <c r="AP17" s="8"/>
      <c r="AQ17" s="34">
        <f t="shared" si="12"/>
        <v>24.5</v>
      </c>
      <c r="AR17" s="8"/>
      <c r="AS17" s="8"/>
      <c r="AT17" s="8"/>
      <c r="AU17" s="34">
        <f t="shared" si="13"/>
        <v>23.5</v>
      </c>
      <c r="AV17" s="8"/>
      <c r="AW17" s="8"/>
      <c r="AX17" s="8"/>
      <c r="AY17" s="34">
        <v>24</v>
      </c>
      <c r="AZ17" s="8"/>
      <c r="BA17" s="8"/>
      <c r="BB17" s="8"/>
      <c r="BC17" s="34">
        <f t="shared" si="14"/>
        <v>25.5</v>
      </c>
      <c r="BD17" s="8"/>
      <c r="BE17" s="8"/>
      <c r="BF17" s="8"/>
    </row>
    <row r="18" spans="1:58" ht="14.4">
      <c r="A18" s="36">
        <v>10</v>
      </c>
      <c r="B18" s="234" t="s">
        <v>294</v>
      </c>
      <c r="C18" s="8" t="s">
        <v>168</v>
      </c>
      <c r="D18" s="8" t="s">
        <v>193</v>
      </c>
      <c r="E18" s="8">
        <v>43891</v>
      </c>
      <c r="F18" s="34">
        <f t="shared" ca="1" si="0"/>
        <v>4</v>
      </c>
      <c r="G18" s="34">
        <v>0</v>
      </c>
      <c r="H18" s="34">
        <f t="shared" ca="1" si="1"/>
        <v>4</v>
      </c>
      <c r="I18" s="34">
        <f t="shared" si="2"/>
        <v>0</v>
      </c>
      <c r="J18" s="34">
        <f t="shared" ca="1" si="3"/>
        <v>4</v>
      </c>
      <c r="K18" s="34">
        <f t="shared" si="4"/>
        <v>23.5</v>
      </c>
      <c r="L18" s="8"/>
      <c r="M18" s="8"/>
      <c r="N18" s="8"/>
      <c r="O18" s="34">
        <f t="shared" si="5"/>
        <v>22.5</v>
      </c>
      <c r="P18" s="8"/>
      <c r="Q18" s="8"/>
      <c r="R18" s="8"/>
      <c r="S18" s="34">
        <f t="shared" si="6"/>
        <v>25.5</v>
      </c>
      <c r="T18" s="8"/>
      <c r="U18" s="8"/>
      <c r="V18" s="8"/>
      <c r="W18" s="34">
        <f t="shared" si="7"/>
        <v>24.5</v>
      </c>
      <c r="X18" s="8"/>
      <c r="Y18" s="8"/>
      <c r="Z18" s="8"/>
      <c r="AA18" s="34">
        <f t="shared" si="8"/>
        <v>23.5</v>
      </c>
      <c r="AB18" s="8"/>
      <c r="AC18" s="8"/>
      <c r="AD18" s="8"/>
      <c r="AE18" s="34">
        <f t="shared" si="9"/>
        <v>24.5</v>
      </c>
      <c r="AF18" s="8"/>
      <c r="AG18" s="8"/>
      <c r="AH18" s="8"/>
      <c r="AI18" s="34">
        <f t="shared" si="10"/>
        <v>24.5</v>
      </c>
      <c r="AJ18" s="8"/>
      <c r="AK18" s="8"/>
      <c r="AL18" s="8"/>
      <c r="AM18" s="34">
        <f t="shared" si="11"/>
        <v>24.5</v>
      </c>
      <c r="AN18" s="8"/>
      <c r="AO18" s="8"/>
      <c r="AP18" s="8"/>
      <c r="AQ18" s="34">
        <f t="shared" si="12"/>
        <v>24.5</v>
      </c>
      <c r="AR18" s="8"/>
      <c r="AS18" s="8"/>
      <c r="AT18" s="8"/>
      <c r="AU18" s="34">
        <f t="shared" si="13"/>
        <v>23.5</v>
      </c>
      <c r="AV18" s="8"/>
      <c r="AW18" s="8"/>
      <c r="AX18" s="8"/>
      <c r="AY18" s="34">
        <v>24</v>
      </c>
      <c r="AZ18" s="8"/>
      <c r="BA18" s="8"/>
      <c r="BB18" s="8"/>
      <c r="BC18" s="34">
        <f t="shared" si="14"/>
        <v>25.5</v>
      </c>
      <c r="BD18" s="8"/>
      <c r="BE18" s="8"/>
      <c r="BF18" s="8"/>
    </row>
    <row r="19" spans="1:58" ht="14.4">
      <c r="A19" s="36">
        <v>11</v>
      </c>
      <c r="B19" s="234" t="s">
        <v>282</v>
      </c>
      <c r="C19" s="8" t="s">
        <v>168</v>
      </c>
      <c r="D19" s="8" t="s">
        <v>193</v>
      </c>
      <c r="E19" s="8">
        <v>43675</v>
      </c>
      <c r="F19" s="34">
        <f t="shared" ca="1" si="0"/>
        <v>4</v>
      </c>
      <c r="G19" s="34">
        <v>0</v>
      </c>
      <c r="H19" s="34">
        <f t="shared" ca="1" si="1"/>
        <v>4</v>
      </c>
      <c r="I19" s="34">
        <f t="shared" si="2"/>
        <v>0</v>
      </c>
      <c r="J19" s="34">
        <f t="shared" ca="1" si="3"/>
        <v>4</v>
      </c>
      <c r="K19" s="34">
        <f t="shared" si="4"/>
        <v>23.5</v>
      </c>
      <c r="L19" s="8"/>
      <c r="M19" s="8"/>
      <c r="N19" s="8"/>
      <c r="O19" s="34">
        <f t="shared" si="5"/>
        <v>22.5</v>
      </c>
      <c r="P19" s="8"/>
      <c r="Q19" s="8"/>
      <c r="R19" s="8"/>
      <c r="S19" s="34">
        <f t="shared" si="6"/>
        <v>25.5</v>
      </c>
      <c r="T19" s="8"/>
      <c r="U19" s="8"/>
      <c r="V19" s="8"/>
      <c r="W19" s="34">
        <f t="shared" si="7"/>
        <v>24.5</v>
      </c>
      <c r="X19" s="8"/>
      <c r="Y19" s="8"/>
      <c r="Z19" s="8"/>
      <c r="AA19" s="34">
        <f t="shared" si="8"/>
        <v>23.5</v>
      </c>
      <c r="AB19" s="8"/>
      <c r="AC19" s="8"/>
      <c r="AD19" s="8"/>
      <c r="AE19" s="34">
        <f t="shared" si="9"/>
        <v>24.5</v>
      </c>
      <c r="AF19" s="8"/>
      <c r="AG19" s="8"/>
      <c r="AH19" s="8"/>
      <c r="AI19" s="34">
        <f t="shared" si="10"/>
        <v>24.5</v>
      </c>
      <c r="AJ19" s="8"/>
      <c r="AK19" s="8"/>
      <c r="AL19" s="8"/>
      <c r="AM19" s="34">
        <f t="shared" si="11"/>
        <v>24.5</v>
      </c>
      <c r="AN19" s="8"/>
      <c r="AO19" s="8"/>
      <c r="AP19" s="8"/>
      <c r="AQ19" s="34">
        <f t="shared" si="12"/>
        <v>24.5</v>
      </c>
      <c r="AR19" s="8"/>
      <c r="AS19" s="8"/>
      <c r="AT19" s="8"/>
      <c r="AU19" s="34">
        <f t="shared" si="13"/>
        <v>23.5</v>
      </c>
      <c r="AV19" s="8"/>
      <c r="AW19" s="8"/>
      <c r="AX19" s="8"/>
      <c r="AY19" s="34">
        <v>24</v>
      </c>
      <c r="AZ19" s="8"/>
      <c r="BA19" s="8"/>
      <c r="BB19" s="8"/>
      <c r="BC19" s="34">
        <f t="shared" si="14"/>
        <v>25.5</v>
      </c>
      <c r="BD19" s="8"/>
      <c r="BE19" s="8"/>
      <c r="BF19" s="8"/>
    </row>
    <row r="20" spans="1:58" ht="14.4">
      <c r="A20" s="36">
        <v>12</v>
      </c>
      <c r="B20" s="234" t="s">
        <v>112</v>
      </c>
      <c r="C20" s="8" t="s">
        <v>165</v>
      </c>
      <c r="D20" s="8" t="s">
        <v>163</v>
      </c>
      <c r="E20" s="8">
        <v>42177</v>
      </c>
      <c r="F20" s="34">
        <f t="shared" ca="1" si="0"/>
        <v>4</v>
      </c>
      <c r="G20" s="34">
        <v>0</v>
      </c>
      <c r="H20" s="34">
        <f t="shared" ca="1" si="1"/>
        <v>4</v>
      </c>
      <c r="I20" s="34">
        <f t="shared" si="2"/>
        <v>0</v>
      </c>
      <c r="J20" s="34">
        <f t="shared" ca="1" si="3"/>
        <v>4</v>
      </c>
      <c r="K20" s="34">
        <f t="shared" si="4"/>
        <v>23.5</v>
      </c>
      <c r="L20" s="8"/>
      <c r="M20" s="8"/>
      <c r="N20" s="8"/>
      <c r="O20" s="34">
        <f t="shared" si="5"/>
        <v>22.5</v>
      </c>
      <c r="P20" s="8"/>
      <c r="Q20" s="8"/>
      <c r="R20" s="8"/>
      <c r="S20" s="34">
        <f t="shared" si="6"/>
        <v>25.5</v>
      </c>
      <c r="T20" s="8"/>
      <c r="U20" s="8"/>
      <c r="V20" s="8"/>
      <c r="W20" s="34">
        <f t="shared" si="7"/>
        <v>24.5</v>
      </c>
      <c r="X20" s="8"/>
      <c r="Y20" s="8"/>
      <c r="Z20" s="8"/>
      <c r="AA20" s="34">
        <f t="shared" si="8"/>
        <v>23.5</v>
      </c>
      <c r="AB20" s="8"/>
      <c r="AC20" s="8"/>
      <c r="AD20" s="8"/>
      <c r="AE20" s="34">
        <f t="shared" si="9"/>
        <v>24.5</v>
      </c>
      <c r="AF20" s="8"/>
      <c r="AG20" s="8"/>
      <c r="AH20" s="8"/>
      <c r="AI20" s="34">
        <f t="shared" si="10"/>
        <v>24.5</v>
      </c>
      <c r="AJ20" s="8"/>
      <c r="AK20" s="8"/>
      <c r="AL20" s="8"/>
      <c r="AM20" s="34">
        <f t="shared" si="11"/>
        <v>24.5</v>
      </c>
      <c r="AN20" s="8"/>
      <c r="AO20" s="8"/>
      <c r="AP20" s="8"/>
      <c r="AQ20" s="34">
        <f t="shared" si="12"/>
        <v>24.5</v>
      </c>
      <c r="AR20" s="8"/>
      <c r="AS20" s="8"/>
      <c r="AT20" s="8"/>
      <c r="AU20" s="34">
        <f t="shared" si="13"/>
        <v>23.5</v>
      </c>
      <c r="AV20" s="8"/>
      <c r="AW20" s="8"/>
      <c r="AX20" s="8"/>
      <c r="AY20" s="34">
        <v>24</v>
      </c>
      <c r="AZ20" s="8"/>
      <c r="BA20" s="8"/>
      <c r="BB20" s="8"/>
      <c r="BC20" s="34">
        <f t="shared" si="14"/>
        <v>25.5</v>
      </c>
      <c r="BD20" s="8"/>
      <c r="BE20" s="8"/>
      <c r="BF20" s="8"/>
    </row>
    <row r="21" spans="1:58" ht="14.4">
      <c r="A21" s="36">
        <v>13</v>
      </c>
      <c r="B21" s="234" t="s">
        <v>164</v>
      </c>
      <c r="C21" s="8" t="s">
        <v>165</v>
      </c>
      <c r="D21" s="8" t="s">
        <v>166</v>
      </c>
      <c r="E21" s="8">
        <v>42933</v>
      </c>
      <c r="F21" s="34">
        <f t="shared" ca="1" si="0"/>
        <v>4</v>
      </c>
      <c r="G21" s="34">
        <v>0</v>
      </c>
      <c r="H21" s="34">
        <f t="shared" ca="1" si="1"/>
        <v>4</v>
      </c>
      <c r="I21" s="34">
        <f t="shared" si="2"/>
        <v>0</v>
      </c>
      <c r="J21" s="34">
        <f t="shared" ca="1" si="3"/>
        <v>4</v>
      </c>
      <c r="K21" s="34">
        <f t="shared" si="4"/>
        <v>23.5</v>
      </c>
      <c r="L21" s="8"/>
      <c r="M21" s="8"/>
      <c r="N21" s="8"/>
      <c r="O21" s="34">
        <f t="shared" si="5"/>
        <v>22.5</v>
      </c>
      <c r="P21" s="8"/>
      <c r="Q21" s="8"/>
      <c r="R21" s="8"/>
      <c r="S21" s="34">
        <f t="shared" si="6"/>
        <v>25.5</v>
      </c>
      <c r="T21" s="8"/>
      <c r="U21" s="8"/>
      <c r="V21" s="8"/>
      <c r="W21" s="34">
        <f t="shared" si="7"/>
        <v>24.5</v>
      </c>
      <c r="X21" s="8"/>
      <c r="Y21" s="8"/>
      <c r="Z21" s="8"/>
      <c r="AA21" s="34">
        <f t="shared" si="8"/>
        <v>23.5</v>
      </c>
      <c r="AB21" s="8"/>
      <c r="AC21" s="8"/>
      <c r="AD21" s="8"/>
      <c r="AE21" s="34">
        <f t="shared" si="9"/>
        <v>24.5</v>
      </c>
      <c r="AF21" s="8"/>
      <c r="AG21" s="8"/>
      <c r="AH21" s="8"/>
      <c r="AI21" s="34">
        <f t="shared" si="10"/>
        <v>24.5</v>
      </c>
      <c r="AJ21" s="8"/>
      <c r="AK21" s="8"/>
      <c r="AL21" s="8"/>
      <c r="AM21" s="34">
        <f t="shared" si="11"/>
        <v>24.5</v>
      </c>
      <c r="AN21" s="8"/>
      <c r="AO21" s="8"/>
      <c r="AP21" s="8"/>
      <c r="AQ21" s="34">
        <f t="shared" si="12"/>
        <v>24.5</v>
      </c>
      <c r="AR21" s="8"/>
      <c r="AS21" s="8"/>
      <c r="AT21" s="8"/>
      <c r="AU21" s="34">
        <f t="shared" si="13"/>
        <v>23.5</v>
      </c>
      <c r="AV21" s="8"/>
      <c r="AW21" s="8"/>
      <c r="AX21" s="8"/>
      <c r="AY21" s="34">
        <v>24</v>
      </c>
      <c r="AZ21" s="8"/>
      <c r="BA21" s="8"/>
      <c r="BB21" s="8"/>
      <c r="BC21" s="34">
        <f t="shared" si="14"/>
        <v>25.5</v>
      </c>
      <c r="BD21" s="8"/>
      <c r="BE21" s="8"/>
      <c r="BF21" s="8"/>
    </row>
    <row r="22" spans="1:58" ht="14.4">
      <c r="A22" s="36">
        <v>14</v>
      </c>
      <c r="B22" s="234" t="s">
        <v>118</v>
      </c>
      <c r="C22" s="8" t="s">
        <v>165</v>
      </c>
      <c r="D22" s="8" t="s">
        <v>192</v>
      </c>
      <c r="E22" s="8">
        <v>41974</v>
      </c>
      <c r="F22" s="34">
        <f t="shared" ca="1" si="0"/>
        <v>4</v>
      </c>
      <c r="G22" s="34">
        <v>0</v>
      </c>
      <c r="H22" s="34">
        <f t="shared" ca="1" si="1"/>
        <v>4</v>
      </c>
      <c r="I22" s="34">
        <f t="shared" si="2"/>
        <v>0</v>
      </c>
      <c r="J22" s="34">
        <f t="shared" ca="1" si="3"/>
        <v>4</v>
      </c>
      <c r="K22" s="34">
        <f t="shared" si="4"/>
        <v>23.5</v>
      </c>
      <c r="L22" s="8"/>
      <c r="M22" s="8"/>
      <c r="N22" s="8"/>
      <c r="O22" s="34">
        <f t="shared" si="5"/>
        <v>22.5</v>
      </c>
      <c r="P22" s="8"/>
      <c r="Q22" s="8"/>
      <c r="R22" s="8"/>
      <c r="S22" s="34">
        <f t="shared" si="6"/>
        <v>25.5</v>
      </c>
      <c r="T22" s="8"/>
      <c r="U22" s="8"/>
      <c r="V22" s="8"/>
      <c r="W22" s="34">
        <f t="shared" si="7"/>
        <v>24.5</v>
      </c>
      <c r="X22" s="8"/>
      <c r="Y22" s="8"/>
      <c r="Z22" s="8"/>
      <c r="AA22" s="34">
        <f t="shared" si="8"/>
        <v>23.5</v>
      </c>
      <c r="AB22" s="8"/>
      <c r="AC22" s="8"/>
      <c r="AD22" s="8"/>
      <c r="AE22" s="34">
        <f t="shared" si="9"/>
        <v>24.5</v>
      </c>
      <c r="AF22" s="8"/>
      <c r="AG22" s="8"/>
      <c r="AH22" s="8"/>
      <c r="AI22" s="34">
        <f t="shared" si="10"/>
        <v>24.5</v>
      </c>
      <c r="AJ22" s="8"/>
      <c r="AK22" s="8"/>
      <c r="AL22" s="8"/>
      <c r="AM22" s="34">
        <f t="shared" si="11"/>
        <v>24.5</v>
      </c>
      <c r="AN22" s="8"/>
      <c r="AO22" s="8"/>
      <c r="AP22" s="8"/>
      <c r="AQ22" s="34">
        <f t="shared" si="12"/>
        <v>24.5</v>
      </c>
      <c r="AR22" s="8"/>
      <c r="AS22" s="8"/>
      <c r="AT22" s="8"/>
      <c r="AU22" s="34">
        <f t="shared" si="13"/>
        <v>23.5</v>
      </c>
      <c r="AV22" s="8"/>
      <c r="AW22" s="8"/>
      <c r="AX22" s="8"/>
      <c r="AY22" s="34">
        <v>24</v>
      </c>
      <c r="AZ22" s="8"/>
      <c r="BA22" s="8"/>
      <c r="BB22" s="8"/>
      <c r="BC22" s="34">
        <f t="shared" si="14"/>
        <v>25.5</v>
      </c>
      <c r="BD22" s="8"/>
      <c r="BE22" s="8"/>
      <c r="BF22" s="8"/>
    </row>
    <row r="23" spans="1:58" ht="14.4">
      <c r="A23" s="36">
        <v>15</v>
      </c>
      <c r="B23" s="234" t="s">
        <v>291</v>
      </c>
      <c r="C23" s="8" t="s">
        <v>165</v>
      </c>
      <c r="D23" s="8" t="s">
        <v>197</v>
      </c>
      <c r="E23" s="8">
        <v>43804</v>
      </c>
      <c r="F23" s="34">
        <f t="shared" ca="1" si="0"/>
        <v>4</v>
      </c>
      <c r="G23" s="34">
        <v>0</v>
      </c>
      <c r="H23" s="34">
        <f t="shared" ca="1" si="1"/>
        <v>4</v>
      </c>
      <c r="I23" s="34">
        <f t="shared" si="2"/>
        <v>0</v>
      </c>
      <c r="J23" s="34">
        <f t="shared" ca="1" si="3"/>
        <v>4</v>
      </c>
      <c r="K23" s="34">
        <f t="shared" si="4"/>
        <v>23.5</v>
      </c>
      <c r="L23" s="8"/>
      <c r="M23" s="8"/>
      <c r="N23" s="8"/>
      <c r="O23" s="34">
        <f t="shared" si="5"/>
        <v>22.5</v>
      </c>
      <c r="P23" s="8"/>
      <c r="Q23" s="8"/>
      <c r="R23" s="8"/>
      <c r="S23" s="34">
        <f t="shared" si="6"/>
        <v>25.5</v>
      </c>
      <c r="T23" s="8"/>
      <c r="U23" s="8"/>
      <c r="V23" s="8"/>
      <c r="W23" s="34">
        <f t="shared" si="7"/>
        <v>24.5</v>
      </c>
      <c r="X23" s="8"/>
      <c r="Y23" s="8"/>
      <c r="Z23" s="8"/>
      <c r="AA23" s="34">
        <f t="shared" si="8"/>
        <v>23.5</v>
      </c>
      <c r="AB23" s="8"/>
      <c r="AC23" s="8"/>
      <c r="AD23" s="8"/>
      <c r="AE23" s="34">
        <f t="shared" si="9"/>
        <v>24.5</v>
      </c>
      <c r="AF23" s="8"/>
      <c r="AG23" s="8"/>
      <c r="AH23" s="8"/>
      <c r="AI23" s="34">
        <f t="shared" si="10"/>
        <v>24.5</v>
      </c>
      <c r="AJ23" s="8"/>
      <c r="AK23" s="8"/>
      <c r="AL23" s="8"/>
      <c r="AM23" s="34">
        <f t="shared" si="11"/>
        <v>24.5</v>
      </c>
      <c r="AN23" s="8"/>
      <c r="AO23" s="8"/>
      <c r="AP23" s="8"/>
      <c r="AQ23" s="34">
        <f t="shared" si="12"/>
        <v>24.5</v>
      </c>
      <c r="AR23" s="8"/>
      <c r="AS23" s="8"/>
      <c r="AT23" s="8"/>
      <c r="AU23" s="34">
        <f t="shared" si="13"/>
        <v>23.5</v>
      </c>
      <c r="AV23" s="8"/>
      <c r="AW23" s="8"/>
      <c r="AX23" s="8"/>
      <c r="AY23" s="34">
        <v>24</v>
      </c>
      <c r="AZ23" s="8"/>
      <c r="BA23" s="8"/>
      <c r="BB23" s="8"/>
      <c r="BC23" s="34">
        <f t="shared" si="14"/>
        <v>25.5</v>
      </c>
      <c r="BD23" s="8"/>
      <c r="BE23" s="8"/>
      <c r="BF23" s="8"/>
    </row>
    <row r="24" spans="1:58" ht="14.4">
      <c r="A24" s="36">
        <v>16</v>
      </c>
      <c r="B24" s="234" t="s">
        <v>298</v>
      </c>
      <c r="C24" s="8" t="s">
        <v>165</v>
      </c>
      <c r="D24" s="8" t="s">
        <v>299</v>
      </c>
      <c r="E24" s="8">
        <v>41855</v>
      </c>
      <c r="F24" s="34">
        <f t="shared" ca="1" si="0"/>
        <v>4</v>
      </c>
      <c r="G24" s="34">
        <v>0</v>
      </c>
      <c r="H24" s="34">
        <f t="shared" ca="1" si="1"/>
        <v>4</v>
      </c>
      <c r="I24" s="34">
        <f t="shared" si="2"/>
        <v>0</v>
      </c>
      <c r="J24" s="34">
        <f t="shared" ca="1" si="3"/>
        <v>4</v>
      </c>
      <c r="K24" s="34">
        <f t="shared" si="4"/>
        <v>23.5</v>
      </c>
      <c r="L24" s="8"/>
      <c r="M24" s="8"/>
      <c r="N24" s="8"/>
      <c r="O24" s="34">
        <f t="shared" si="5"/>
        <v>22.5</v>
      </c>
      <c r="P24" s="8"/>
      <c r="Q24" s="8"/>
      <c r="R24" s="8"/>
      <c r="S24" s="34">
        <f t="shared" si="6"/>
        <v>25.5</v>
      </c>
      <c r="T24" s="8"/>
      <c r="U24" s="8"/>
      <c r="V24" s="8"/>
      <c r="W24" s="34">
        <f t="shared" si="7"/>
        <v>24.5</v>
      </c>
      <c r="X24" s="8"/>
      <c r="Y24" s="8"/>
      <c r="Z24" s="8"/>
      <c r="AA24" s="34">
        <f t="shared" si="8"/>
        <v>23.5</v>
      </c>
      <c r="AB24" s="8"/>
      <c r="AC24" s="8"/>
      <c r="AD24" s="8"/>
      <c r="AE24" s="34">
        <f t="shared" si="9"/>
        <v>24.5</v>
      </c>
      <c r="AF24" s="8"/>
      <c r="AG24" s="8"/>
      <c r="AH24" s="8"/>
      <c r="AI24" s="34">
        <f t="shared" si="10"/>
        <v>24.5</v>
      </c>
      <c r="AJ24" s="8"/>
      <c r="AK24" s="8"/>
      <c r="AL24" s="8"/>
      <c r="AM24" s="34">
        <f t="shared" si="11"/>
        <v>24.5</v>
      </c>
      <c r="AN24" s="8"/>
      <c r="AO24" s="8"/>
      <c r="AP24" s="8"/>
      <c r="AQ24" s="34">
        <f t="shared" si="12"/>
        <v>24.5</v>
      </c>
      <c r="AR24" s="8"/>
      <c r="AS24" s="8"/>
      <c r="AT24" s="8"/>
      <c r="AU24" s="34">
        <f t="shared" si="13"/>
        <v>23.5</v>
      </c>
      <c r="AV24" s="8"/>
      <c r="AW24" s="8"/>
      <c r="AX24" s="8"/>
      <c r="AY24" s="34">
        <v>24</v>
      </c>
      <c r="AZ24" s="8"/>
      <c r="BA24" s="8"/>
      <c r="BB24" s="8"/>
      <c r="BC24" s="34">
        <f t="shared" si="14"/>
        <v>25.5</v>
      </c>
      <c r="BD24" s="8"/>
      <c r="BE24" s="8"/>
      <c r="BF24" s="8"/>
    </row>
    <row r="25" spans="1:58" ht="14.4">
      <c r="A25" s="36">
        <v>17</v>
      </c>
      <c r="B25" s="234" t="s">
        <v>303</v>
      </c>
      <c r="C25" s="8" t="s">
        <v>165</v>
      </c>
      <c r="D25" s="8" t="s">
        <v>299</v>
      </c>
      <c r="E25" s="8">
        <v>42254</v>
      </c>
      <c r="F25" s="34">
        <f t="shared" ca="1" si="0"/>
        <v>4</v>
      </c>
      <c r="G25" s="34">
        <v>0</v>
      </c>
      <c r="H25" s="34">
        <f t="shared" ca="1" si="1"/>
        <v>4</v>
      </c>
      <c r="I25" s="34">
        <f t="shared" si="2"/>
        <v>0</v>
      </c>
      <c r="J25" s="34">
        <f t="shared" ca="1" si="3"/>
        <v>4</v>
      </c>
      <c r="K25" s="34">
        <f t="shared" si="4"/>
        <v>23.5</v>
      </c>
      <c r="L25" s="8"/>
      <c r="M25" s="8"/>
      <c r="N25" s="8"/>
      <c r="O25" s="34">
        <f t="shared" si="5"/>
        <v>22.5</v>
      </c>
      <c r="P25" s="8"/>
      <c r="Q25" s="8"/>
      <c r="R25" s="8"/>
      <c r="S25" s="34">
        <f t="shared" si="6"/>
        <v>25.5</v>
      </c>
      <c r="T25" s="8"/>
      <c r="U25" s="8"/>
      <c r="V25" s="8"/>
      <c r="W25" s="34">
        <f t="shared" si="7"/>
        <v>24.5</v>
      </c>
      <c r="X25" s="8"/>
      <c r="Y25" s="8"/>
      <c r="Z25" s="8"/>
      <c r="AA25" s="34">
        <f t="shared" si="8"/>
        <v>23.5</v>
      </c>
      <c r="AB25" s="8"/>
      <c r="AC25" s="8"/>
      <c r="AD25" s="8"/>
      <c r="AE25" s="34">
        <f t="shared" si="9"/>
        <v>24.5</v>
      </c>
      <c r="AF25" s="8"/>
      <c r="AG25" s="8"/>
      <c r="AH25" s="8"/>
      <c r="AI25" s="34">
        <f t="shared" si="10"/>
        <v>24.5</v>
      </c>
      <c r="AJ25" s="8"/>
      <c r="AK25" s="8"/>
      <c r="AL25" s="8"/>
      <c r="AM25" s="34">
        <f t="shared" si="11"/>
        <v>24.5</v>
      </c>
      <c r="AN25" s="8"/>
      <c r="AO25" s="8"/>
      <c r="AP25" s="8"/>
      <c r="AQ25" s="34">
        <f t="shared" si="12"/>
        <v>24.5</v>
      </c>
      <c r="AR25" s="8"/>
      <c r="AS25" s="8"/>
      <c r="AT25" s="8"/>
      <c r="AU25" s="34">
        <f t="shared" si="13"/>
        <v>23.5</v>
      </c>
      <c r="AV25" s="8"/>
      <c r="AW25" s="8"/>
      <c r="AX25" s="8"/>
      <c r="AY25" s="34">
        <v>24</v>
      </c>
      <c r="AZ25" s="8"/>
      <c r="BA25" s="8"/>
      <c r="BB25" s="8"/>
      <c r="BC25" s="34">
        <f t="shared" si="14"/>
        <v>25.5</v>
      </c>
      <c r="BD25" s="8"/>
      <c r="BE25" s="8"/>
      <c r="BF25" s="8"/>
    </row>
    <row r="26" spans="1:58" ht="14.4">
      <c r="A26" s="36">
        <v>18</v>
      </c>
      <c r="B26" s="234" t="s">
        <v>199</v>
      </c>
      <c r="C26" s="8" t="s">
        <v>165</v>
      </c>
      <c r="D26" s="8" t="s">
        <v>197</v>
      </c>
      <c r="E26" s="8">
        <v>43133</v>
      </c>
      <c r="F26" s="34">
        <f t="shared" ca="1" si="0"/>
        <v>4</v>
      </c>
      <c r="G26" s="34">
        <v>0</v>
      </c>
      <c r="H26" s="34">
        <f t="shared" ca="1" si="1"/>
        <v>4</v>
      </c>
      <c r="I26" s="34">
        <f t="shared" si="2"/>
        <v>0</v>
      </c>
      <c r="J26" s="34">
        <f t="shared" ca="1" si="3"/>
        <v>4</v>
      </c>
      <c r="K26" s="34">
        <f t="shared" si="4"/>
        <v>23.5</v>
      </c>
      <c r="L26" s="8"/>
      <c r="M26" s="8"/>
      <c r="N26" s="8"/>
      <c r="O26" s="34">
        <f t="shared" si="5"/>
        <v>22.5</v>
      </c>
      <c r="P26" s="8"/>
      <c r="Q26" s="8"/>
      <c r="R26" s="8"/>
      <c r="S26" s="34">
        <f t="shared" si="6"/>
        <v>25.5</v>
      </c>
      <c r="T26" s="8"/>
      <c r="U26" s="8"/>
      <c r="V26" s="8"/>
      <c r="W26" s="34">
        <f t="shared" si="7"/>
        <v>24.5</v>
      </c>
      <c r="X26" s="8"/>
      <c r="Y26" s="8"/>
      <c r="Z26" s="8"/>
      <c r="AA26" s="34">
        <f t="shared" si="8"/>
        <v>23.5</v>
      </c>
      <c r="AB26" s="8"/>
      <c r="AC26" s="8"/>
      <c r="AD26" s="8"/>
      <c r="AE26" s="34">
        <f t="shared" si="9"/>
        <v>24.5</v>
      </c>
      <c r="AF26" s="8"/>
      <c r="AG26" s="8"/>
      <c r="AH26" s="8"/>
      <c r="AI26" s="34">
        <f t="shared" si="10"/>
        <v>24.5</v>
      </c>
      <c r="AJ26" s="8"/>
      <c r="AK26" s="8"/>
      <c r="AL26" s="8"/>
      <c r="AM26" s="34">
        <f t="shared" si="11"/>
        <v>24.5</v>
      </c>
      <c r="AN26" s="8"/>
      <c r="AO26" s="8"/>
      <c r="AP26" s="8"/>
      <c r="AQ26" s="34">
        <f t="shared" si="12"/>
        <v>24.5</v>
      </c>
      <c r="AR26" s="8"/>
      <c r="AS26" s="8"/>
      <c r="AT26" s="8"/>
      <c r="AU26" s="34">
        <f t="shared" si="13"/>
        <v>23.5</v>
      </c>
      <c r="AV26" s="8"/>
      <c r="AW26" s="8"/>
      <c r="AX26" s="8"/>
      <c r="AY26" s="34">
        <v>24</v>
      </c>
      <c r="AZ26" s="8"/>
      <c r="BA26" s="8"/>
      <c r="BB26" s="8"/>
      <c r="BC26" s="34">
        <f t="shared" si="14"/>
        <v>25.5</v>
      </c>
      <c r="BD26" s="8"/>
      <c r="BE26" s="8"/>
      <c r="BF26" s="8"/>
    </row>
    <row r="27" spans="1:58" ht="14.4">
      <c r="A27" s="36">
        <v>19</v>
      </c>
      <c r="B27" s="234" t="s">
        <v>211</v>
      </c>
      <c r="C27" s="8" t="s">
        <v>165</v>
      </c>
      <c r="D27" s="8" t="s">
        <v>197</v>
      </c>
      <c r="E27" s="8">
        <v>43374</v>
      </c>
      <c r="F27" s="34">
        <f t="shared" ca="1" si="0"/>
        <v>4</v>
      </c>
      <c r="G27" s="34">
        <v>0</v>
      </c>
      <c r="H27" s="34">
        <f t="shared" ca="1" si="1"/>
        <v>4</v>
      </c>
      <c r="I27" s="34">
        <f t="shared" si="2"/>
        <v>0</v>
      </c>
      <c r="J27" s="34">
        <f t="shared" ca="1" si="3"/>
        <v>4</v>
      </c>
      <c r="K27" s="34">
        <f t="shared" si="4"/>
        <v>23.5</v>
      </c>
      <c r="L27" s="8"/>
      <c r="M27" s="8"/>
      <c r="N27" s="8"/>
      <c r="O27" s="34">
        <f t="shared" si="5"/>
        <v>22.5</v>
      </c>
      <c r="P27" s="8"/>
      <c r="Q27" s="8"/>
      <c r="R27" s="8"/>
      <c r="S27" s="34">
        <f t="shared" si="6"/>
        <v>25.5</v>
      </c>
      <c r="T27" s="8"/>
      <c r="U27" s="8"/>
      <c r="V27" s="8"/>
      <c r="W27" s="34">
        <f t="shared" si="7"/>
        <v>24.5</v>
      </c>
      <c r="X27" s="8"/>
      <c r="Y27" s="8"/>
      <c r="Z27" s="8"/>
      <c r="AA27" s="34">
        <f t="shared" si="8"/>
        <v>23.5</v>
      </c>
      <c r="AB27" s="8"/>
      <c r="AC27" s="8"/>
      <c r="AD27" s="8"/>
      <c r="AE27" s="34">
        <f t="shared" si="9"/>
        <v>24.5</v>
      </c>
      <c r="AF27" s="8"/>
      <c r="AG27" s="8"/>
      <c r="AH27" s="8"/>
      <c r="AI27" s="34">
        <f t="shared" si="10"/>
        <v>24.5</v>
      </c>
      <c r="AJ27" s="8"/>
      <c r="AK27" s="8"/>
      <c r="AL27" s="8"/>
      <c r="AM27" s="34">
        <f t="shared" si="11"/>
        <v>24.5</v>
      </c>
      <c r="AN27" s="8"/>
      <c r="AO27" s="8"/>
      <c r="AP27" s="8"/>
      <c r="AQ27" s="34">
        <f t="shared" si="12"/>
        <v>24.5</v>
      </c>
      <c r="AR27" s="8"/>
      <c r="AS27" s="8"/>
      <c r="AT27" s="8"/>
      <c r="AU27" s="34">
        <f t="shared" si="13"/>
        <v>23.5</v>
      </c>
      <c r="AV27" s="8"/>
      <c r="AW27" s="8"/>
      <c r="AX27" s="8"/>
      <c r="AY27" s="34">
        <v>24</v>
      </c>
      <c r="AZ27" s="8"/>
      <c r="BA27" s="8"/>
      <c r="BB27" s="8"/>
      <c r="BC27" s="34">
        <f t="shared" si="14"/>
        <v>25.5</v>
      </c>
      <c r="BD27" s="8"/>
      <c r="BE27" s="8"/>
      <c r="BF27" s="8"/>
    </row>
    <row r="28" spans="1:58" ht="14.4">
      <c r="A28" s="36">
        <v>20</v>
      </c>
      <c r="B28" s="234" t="s">
        <v>287</v>
      </c>
      <c r="C28" s="8" t="s">
        <v>165</v>
      </c>
      <c r="D28" s="8" t="s">
        <v>197</v>
      </c>
      <c r="E28" s="8">
        <v>43725</v>
      </c>
      <c r="F28" s="34">
        <f t="shared" ca="1" si="0"/>
        <v>4</v>
      </c>
      <c r="G28" s="34">
        <v>0</v>
      </c>
      <c r="H28" s="34">
        <f t="shared" ca="1" si="1"/>
        <v>4</v>
      </c>
      <c r="I28" s="34">
        <f t="shared" si="2"/>
        <v>0</v>
      </c>
      <c r="J28" s="34">
        <f t="shared" ca="1" si="3"/>
        <v>4</v>
      </c>
      <c r="K28" s="34">
        <f t="shared" si="4"/>
        <v>23.5</v>
      </c>
      <c r="L28" s="8"/>
      <c r="M28" s="8"/>
      <c r="N28" s="8"/>
      <c r="O28" s="34">
        <f t="shared" si="5"/>
        <v>22.5</v>
      </c>
      <c r="P28" s="8"/>
      <c r="Q28" s="8"/>
      <c r="R28" s="8"/>
      <c r="S28" s="34">
        <f t="shared" si="6"/>
        <v>25.5</v>
      </c>
      <c r="T28" s="8"/>
      <c r="U28" s="8"/>
      <c r="V28" s="8"/>
      <c r="W28" s="34">
        <f t="shared" si="7"/>
        <v>24.5</v>
      </c>
      <c r="X28" s="8"/>
      <c r="Y28" s="8"/>
      <c r="Z28" s="8"/>
      <c r="AA28" s="34">
        <f t="shared" si="8"/>
        <v>23.5</v>
      </c>
      <c r="AB28" s="8"/>
      <c r="AC28" s="8"/>
      <c r="AD28" s="8"/>
      <c r="AE28" s="34">
        <f t="shared" si="9"/>
        <v>24.5</v>
      </c>
      <c r="AF28" s="8"/>
      <c r="AG28" s="8"/>
      <c r="AH28" s="8"/>
      <c r="AI28" s="34">
        <f t="shared" si="10"/>
        <v>24.5</v>
      </c>
      <c r="AJ28" s="8"/>
      <c r="AK28" s="8"/>
      <c r="AL28" s="8"/>
      <c r="AM28" s="34">
        <f t="shared" si="11"/>
        <v>24.5</v>
      </c>
      <c r="AN28" s="8"/>
      <c r="AO28" s="8"/>
      <c r="AP28" s="8"/>
      <c r="AQ28" s="34">
        <f t="shared" si="12"/>
        <v>24.5</v>
      </c>
      <c r="AR28" s="8"/>
      <c r="AS28" s="8"/>
      <c r="AT28" s="8"/>
      <c r="AU28" s="34">
        <f t="shared" si="13"/>
        <v>23.5</v>
      </c>
      <c r="AV28" s="8"/>
      <c r="AW28" s="8"/>
      <c r="AX28" s="8"/>
      <c r="AY28" s="34">
        <v>24</v>
      </c>
      <c r="AZ28" s="8"/>
      <c r="BA28" s="8"/>
      <c r="BB28" s="8"/>
      <c r="BC28" s="34">
        <f t="shared" si="14"/>
        <v>25.5</v>
      </c>
      <c r="BD28" s="8"/>
      <c r="BE28" s="8"/>
      <c r="BF28" s="8"/>
    </row>
    <row r="29" spans="1:58" ht="14.4">
      <c r="A29" s="36">
        <v>21</v>
      </c>
      <c r="B29" s="234" t="s">
        <v>207</v>
      </c>
      <c r="C29" s="8" t="s">
        <v>217</v>
      </c>
      <c r="D29" s="8" t="s">
        <v>174</v>
      </c>
      <c r="E29" s="8">
        <v>43325</v>
      </c>
      <c r="F29" s="34">
        <f t="shared" ca="1" si="0"/>
        <v>4</v>
      </c>
      <c r="G29" s="34">
        <v>0</v>
      </c>
      <c r="H29" s="34">
        <f t="shared" ca="1" si="1"/>
        <v>4</v>
      </c>
      <c r="I29" s="34">
        <f t="shared" si="2"/>
        <v>0</v>
      </c>
      <c r="J29" s="34">
        <f t="shared" ca="1" si="3"/>
        <v>4</v>
      </c>
      <c r="K29" s="34">
        <f t="shared" si="4"/>
        <v>23.5</v>
      </c>
      <c r="L29" s="8"/>
      <c r="M29" s="8"/>
      <c r="N29" s="8"/>
      <c r="O29" s="34">
        <f t="shared" si="5"/>
        <v>22.5</v>
      </c>
      <c r="P29" s="8"/>
      <c r="Q29" s="8"/>
      <c r="R29" s="8"/>
      <c r="S29" s="34">
        <f t="shared" si="6"/>
        <v>25.5</v>
      </c>
      <c r="T29" s="8"/>
      <c r="U29" s="8"/>
      <c r="V29" s="8"/>
      <c r="W29" s="34">
        <f t="shared" si="7"/>
        <v>24.5</v>
      </c>
      <c r="X29" s="8"/>
      <c r="Y29" s="8"/>
      <c r="Z29" s="8"/>
      <c r="AA29" s="34">
        <f t="shared" si="8"/>
        <v>23.5</v>
      </c>
      <c r="AB29" s="8"/>
      <c r="AC29" s="8"/>
      <c r="AD29" s="8"/>
      <c r="AE29" s="34">
        <f t="shared" si="9"/>
        <v>24.5</v>
      </c>
      <c r="AF29" s="8"/>
      <c r="AG29" s="8"/>
      <c r="AH29" s="8"/>
      <c r="AI29" s="34">
        <f t="shared" si="10"/>
        <v>24.5</v>
      </c>
      <c r="AJ29" s="8"/>
      <c r="AK29" s="8"/>
      <c r="AL29" s="8"/>
      <c r="AM29" s="34">
        <f t="shared" si="11"/>
        <v>24.5</v>
      </c>
      <c r="AN29" s="8"/>
      <c r="AO29" s="8"/>
      <c r="AP29" s="8"/>
      <c r="AQ29" s="34">
        <f t="shared" si="12"/>
        <v>24.5</v>
      </c>
      <c r="AR29" s="8"/>
      <c r="AS29" s="8"/>
      <c r="AT29" s="8"/>
      <c r="AU29" s="34">
        <f t="shared" si="13"/>
        <v>23.5</v>
      </c>
      <c r="AV29" s="8"/>
      <c r="AW29" s="8"/>
      <c r="AX29" s="8"/>
      <c r="AY29" s="34">
        <v>24</v>
      </c>
      <c r="AZ29" s="8"/>
      <c r="BA29" s="8"/>
      <c r="BB29" s="8"/>
      <c r="BC29" s="34">
        <f t="shared" si="14"/>
        <v>25.5</v>
      </c>
      <c r="BD29" s="8"/>
      <c r="BE29" s="8"/>
      <c r="BF29" s="8"/>
    </row>
    <row r="30" spans="1:58" ht="14.4">
      <c r="A30" s="36">
        <v>22</v>
      </c>
      <c r="B30" s="234"/>
      <c r="C30" s="8"/>
      <c r="D30" s="8"/>
      <c r="E30" s="8"/>
      <c r="F30" s="34">
        <f t="shared" ca="1" si="0"/>
        <v>0</v>
      </c>
      <c r="G30" s="34">
        <v>0</v>
      </c>
      <c r="H30" s="34">
        <f t="shared" ca="1" si="1"/>
        <v>0</v>
      </c>
      <c r="I30" s="34">
        <f t="shared" si="2"/>
        <v>0</v>
      </c>
      <c r="J30" s="34">
        <f t="shared" ca="1" si="3"/>
        <v>0</v>
      </c>
      <c r="K30" s="34">
        <f t="shared" si="4"/>
        <v>0</v>
      </c>
      <c r="L30" s="8"/>
      <c r="M30" s="8"/>
      <c r="N30" s="8"/>
      <c r="O30" s="34">
        <f t="shared" si="5"/>
        <v>0</v>
      </c>
      <c r="P30" s="8"/>
      <c r="Q30" s="8"/>
      <c r="R30" s="8"/>
      <c r="S30" s="34">
        <f t="shared" si="6"/>
        <v>0</v>
      </c>
      <c r="T30" s="8"/>
      <c r="U30" s="8"/>
      <c r="V30" s="8"/>
      <c r="W30" s="34">
        <f t="shared" si="7"/>
        <v>0</v>
      </c>
      <c r="X30" s="8"/>
      <c r="Y30" s="8"/>
      <c r="Z30" s="8"/>
      <c r="AA30" s="34">
        <f t="shared" si="8"/>
        <v>0</v>
      </c>
      <c r="AB30" s="8"/>
      <c r="AC30" s="8"/>
      <c r="AD30" s="8"/>
      <c r="AE30" s="34">
        <f t="shared" si="9"/>
        <v>0</v>
      </c>
      <c r="AF30" s="8"/>
      <c r="AG30" s="8"/>
      <c r="AH30" s="8"/>
      <c r="AI30" s="34">
        <f t="shared" si="10"/>
        <v>0</v>
      </c>
      <c r="AJ30" s="8"/>
      <c r="AK30" s="8"/>
      <c r="AL30" s="8"/>
      <c r="AM30" s="34">
        <f t="shared" si="11"/>
        <v>0</v>
      </c>
      <c r="AN30" s="8"/>
      <c r="AO30" s="8"/>
      <c r="AP30" s="8"/>
      <c r="AQ30" s="34">
        <f t="shared" si="12"/>
        <v>0</v>
      </c>
      <c r="AR30" s="8"/>
      <c r="AS30" s="8"/>
      <c r="AT30" s="8"/>
      <c r="AU30" s="34">
        <f t="shared" si="13"/>
        <v>0</v>
      </c>
      <c r="AV30" s="8"/>
      <c r="AW30" s="8"/>
      <c r="AX30" s="8"/>
      <c r="AY30" s="34">
        <v>24</v>
      </c>
      <c r="AZ30" s="8"/>
      <c r="BA30" s="8"/>
      <c r="BB30" s="8"/>
      <c r="BC30" s="34">
        <f t="shared" si="14"/>
        <v>0</v>
      </c>
      <c r="BD30" s="8"/>
      <c r="BE30" s="8"/>
      <c r="BF30" s="8"/>
    </row>
    <row r="31" spans="1:58" ht="14.4">
      <c r="A31" s="36">
        <v>23</v>
      </c>
      <c r="B31" s="234"/>
      <c r="C31" s="8"/>
      <c r="D31" s="8"/>
      <c r="E31" s="8"/>
      <c r="F31" s="34">
        <f t="shared" ca="1" si="0"/>
        <v>0</v>
      </c>
      <c r="G31" s="34">
        <v>0</v>
      </c>
      <c r="H31" s="34">
        <f t="shared" ca="1" si="1"/>
        <v>0</v>
      </c>
      <c r="I31" s="34">
        <f t="shared" si="2"/>
        <v>0</v>
      </c>
      <c r="J31" s="34">
        <f t="shared" ca="1" si="3"/>
        <v>0</v>
      </c>
      <c r="K31" s="34">
        <f t="shared" si="4"/>
        <v>0</v>
      </c>
      <c r="L31" s="8"/>
      <c r="M31" s="8"/>
      <c r="N31" s="8"/>
      <c r="O31" s="34">
        <f t="shared" si="5"/>
        <v>0</v>
      </c>
      <c r="P31" s="8"/>
      <c r="Q31" s="8"/>
      <c r="R31" s="8"/>
      <c r="S31" s="34">
        <f t="shared" si="6"/>
        <v>0</v>
      </c>
      <c r="T31" s="8"/>
      <c r="U31" s="8"/>
      <c r="V31" s="8"/>
      <c r="W31" s="34">
        <f t="shared" si="7"/>
        <v>0</v>
      </c>
      <c r="X31" s="8"/>
      <c r="Y31" s="8"/>
      <c r="Z31" s="8"/>
      <c r="AA31" s="34">
        <f t="shared" si="8"/>
        <v>0</v>
      </c>
      <c r="AB31" s="8"/>
      <c r="AC31" s="8"/>
      <c r="AD31" s="8"/>
      <c r="AE31" s="34">
        <f t="shared" si="9"/>
        <v>0</v>
      </c>
      <c r="AF31" s="8"/>
      <c r="AG31" s="8"/>
      <c r="AH31" s="8"/>
      <c r="AI31" s="34">
        <f t="shared" si="10"/>
        <v>0</v>
      </c>
      <c r="AJ31" s="8"/>
      <c r="AK31" s="8"/>
      <c r="AL31" s="8"/>
      <c r="AM31" s="34">
        <f t="shared" si="11"/>
        <v>0</v>
      </c>
      <c r="AN31" s="8"/>
      <c r="AO31" s="8"/>
      <c r="AP31" s="8"/>
      <c r="AQ31" s="34">
        <f t="shared" si="12"/>
        <v>0</v>
      </c>
      <c r="AR31" s="8"/>
      <c r="AS31" s="8"/>
      <c r="AT31" s="8"/>
      <c r="AU31" s="34">
        <f t="shared" si="13"/>
        <v>0</v>
      </c>
      <c r="AV31" s="8"/>
      <c r="AW31" s="8"/>
      <c r="AX31" s="8"/>
      <c r="AY31" s="34">
        <v>24</v>
      </c>
      <c r="AZ31" s="8"/>
      <c r="BA31" s="8"/>
      <c r="BB31" s="8"/>
      <c r="BC31" s="34">
        <f t="shared" si="14"/>
        <v>0</v>
      </c>
      <c r="BD31" s="8"/>
      <c r="BE31" s="8"/>
      <c r="BF31" s="8"/>
    </row>
    <row r="32" spans="1:58">
      <c r="A32" s="36">
        <v>24</v>
      </c>
      <c r="B32" s="25"/>
      <c r="C32" s="24"/>
      <c r="D32" s="24"/>
      <c r="E32" s="8"/>
      <c r="F32" s="34">
        <f t="shared" ca="1" si="0"/>
        <v>0</v>
      </c>
      <c r="G32" s="34">
        <v>0</v>
      </c>
      <c r="H32" s="34">
        <f t="shared" ca="1" si="1"/>
        <v>0</v>
      </c>
      <c r="I32" s="34">
        <f t="shared" si="2"/>
        <v>0</v>
      </c>
      <c r="J32" s="34">
        <f t="shared" ca="1" si="3"/>
        <v>0</v>
      </c>
      <c r="K32" s="34">
        <f t="shared" si="4"/>
        <v>0</v>
      </c>
      <c r="L32" s="8"/>
      <c r="M32" s="8"/>
      <c r="N32" s="8"/>
      <c r="O32" s="34">
        <f t="shared" si="5"/>
        <v>0</v>
      </c>
      <c r="P32" s="8"/>
      <c r="Q32" s="8"/>
      <c r="R32" s="8"/>
      <c r="S32" s="34">
        <f t="shared" si="6"/>
        <v>0</v>
      </c>
      <c r="T32" s="8"/>
      <c r="U32" s="8"/>
      <c r="V32" s="8"/>
      <c r="W32" s="34">
        <f t="shared" si="7"/>
        <v>0</v>
      </c>
      <c r="X32" s="8"/>
      <c r="Y32" s="8"/>
      <c r="Z32" s="8"/>
      <c r="AA32" s="34">
        <f t="shared" si="8"/>
        <v>0</v>
      </c>
      <c r="AB32" s="8"/>
      <c r="AC32" s="8"/>
      <c r="AD32" s="8"/>
      <c r="AE32" s="34">
        <f t="shared" si="9"/>
        <v>0</v>
      </c>
      <c r="AF32" s="8"/>
      <c r="AG32" s="8"/>
      <c r="AH32" s="8"/>
      <c r="AI32" s="34">
        <f t="shared" si="10"/>
        <v>0</v>
      </c>
      <c r="AJ32" s="8"/>
      <c r="AK32" s="8"/>
      <c r="AL32" s="8"/>
      <c r="AM32" s="34">
        <f t="shared" si="11"/>
        <v>0</v>
      </c>
      <c r="AN32" s="8"/>
      <c r="AO32" s="8"/>
      <c r="AP32" s="8"/>
      <c r="AQ32" s="34">
        <f t="shared" si="12"/>
        <v>0</v>
      </c>
      <c r="AR32" s="8"/>
      <c r="AS32" s="8"/>
      <c r="AT32" s="8"/>
      <c r="AU32" s="34">
        <f t="shared" si="13"/>
        <v>0</v>
      </c>
      <c r="AV32" s="8"/>
      <c r="AW32" s="8"/>
      <c r="AX32" s="8"/>
      <c r="AY32" s="34">
        <v>24</v>
      </c>
      <c r="AZ32" s="8"/>
      <c r="BA32" s="8"/>
      <c r="BB32" s="8"/>
      <c r="BC32" s="34">
        <f t="shared" si="14"/>
        <v>0</v>
      </c>
      <c r="BD32" s="8"/>
      <c r="BE32" s="8"/>
      <c r="BF32" s="8"/>
    </row>
    <row r="33" spans="1:58">
      <c r="A33" s="36">
        <v>25</v>
      </c>
      <c r="B33" s="25"/>
      <c r="C33" s="24"/>
      <c r="D33" s="24"/>
      <c r="E33" s="8"/>
      <c r="F33" s="34"/>
      <c r="G33" s="34"/>
      <c r="H33" s="34"/>
      <c r="I33" s="34"/>
      <c r="J33" s="34"/>
      <c r="K33" s="34"/>
      <c r="L33" s="8"/>
      <c r="M33" s="8"/>
      <c r="N33" s="8"/>
      <c r="O33" s="34"/>
      <c r="P33" s="8"/>
      <c r="Q33" s="8"/>
      <c r="R33" s="8"/>
      <c r="S33" s="34"/>
      <c r="T33" s="8"/>
      <c r="U33" s="8"/>
      <c r="V33" s="8"/>
      <c r="W33" s="34"/>
      <c r="X33" s="8"/>
      <c r="Y33" s="8"/>
      <c r="Z33" s="8"/>
      <c r="AA33" s="34"/>
      <c r="AB33" s="8"/>
      <c r="AC33" s="8"/>
      <c r="AD33" s="8"/>
      <c r="AE33" s="34"/>
      <c r="AF33" s="8"/>
      <c r="AG33" s="8"/>
      <c r="AH33" s="8"/>
      <c r="AI33" s="34"/>
      <c r="AJ33" s="8"/>
      <c r="AK33" s="8"/>
      <c r="AL33" s="8"/>
      <c r="AM33" s="34"/>
      <c r="AN33" s="8"/>
      <c r="AO33" s="8"/>
      <c r="AP33" s="8"/>
      <c r="AQ33" s="34"/>
      <c r="AR33" s="8"/>
      <c r="AS33" s="8"/>
      <c r="AT33" s="8"/>
      <c r="AU33" s="34"/>
      <c r="AV33" s="8"/>
      <c r="AW33" s="8"/>
      <c r="AX33" s="8"/>
      <c r="AY33" s="34"/>
      <c r="AZ33" s="8"/>
      <c r="BA33" s="8"/>
      <c r="BB33" s="8"/>
      <c r="BC33" s="34"/>
      <c r="BD33" s="8"/>
      <c r="BE33" s="8"/>
      <c r="BF33" s="8"/>
    </row>
    <row r="34" spans="1:58">
      <c r="A34" s="36">
        <v>26</v>
      </c>
      <c r="B34" s="25"/>
      <c r="C34" s="24"/>
      <c r="D34" s="24"/>
      <c r="E34" s="8"/>
      <c r="F34" s="34"/>
      <c r="G34" s="34"/>
      <c r="H34" s="34"/>
      <c r="I34" s="34"/>
      <c r="J34" s="34"/>
      <c r="K34" s="34"/>
      <c r="L34" s="8"/>
      <c r="M34" s="8"/>
      <c r="N34" s="8"/>
      <c r="O34" s="34"/>
      <c r="P34" s="8"/>
      <c r="Q34" s="8"/>
      <c r="R34" s="8"/>
      <c r="S34" s="34"/>
      <c r="T34" s="8"/>
      <c r="U34" s="8"/>
      <c r="V34" s="8"/>
      <c r="W34" s="34"/>
      <c r="X34" s="8"/>
      <c r="Y34" s="8"/>
      <c r="Z34" s="8"/>
      <c r="AA34" s="34"/>
      <c r="AB34" s="8"/>
      <c r="AC34" s="8"/>
      <c r="AD34" s="8"/>
      <c r="AE34" s="34"/>
      <c r="AF34" s="8"/>
      <c r="AG34" s="8"/>
      <c r="AH34" s="8"/>
      <c r="AI34" s="34"/>
      <c r="AJ34" s="8"/>
      <c r="AK34" s="8"/>
      <c r="AL34" s="8"/>
      <c r="AM34" s="34"/>
      <c r="AN34" s="8"/>
      <c r="AO34" s="8"/>
      <c r="AP34" s="8"/>
      <c r="AQ34" s="34"/>
      <c r="AR34" s="8"/>
      <c r="AS34" s="8"/>
      <c r="AT34" s="8"/>
      <c r="AU34" s="34"/>
      <c r="AV34" s="8"/>
      <c r="AW34" s="8"/>
      <c r="AX34" s="8"/>
      <c r="AY34" s="34"/>
      <c r="AZ34" s="8"/>
      <c r="BA34" s="8"/>
      <c r="BB34" s="8"/>
      <c r="BC34" s="34"/>
      <c r="BD34" s="8"/>
      <c r="BE34" s="8"/>
      <c r="BF34" s="8"/>
    </row>
    <row r="35" spans="1:58">
      <c r="A35" s="36"/>
      <c r="B35" s="25"/>
      <c r="C35" s="24"/>
      <c r="D35" s="24"/>
      <c r="E35" s="8"/>
      <c r="F35" s="34"/>
      <c r="G35" s="34"/>
      <c r="H35" s="34"/>
      <c r="I35" s="34"/>
      <c r="J35" s="34"/>
      <c r="K35" s="34"/>
      <c r="L35" s="8"/>
      <c r="M35" s="8"/>
      <c r="N35" s="8"/>
      <c r="O35" s="34"/>
      <c r="P35" s="8"/>
      <c r="Q35" s="8"/>
      <c r="R35" s="8"/>
      <c r="S35" s="34"/>
      <c r="T35" s="8"/>
      <c r="U35" s="8"/>
      <c r="V35" s="8"/>
      <c r="W35" s="34"/>
      <c r="X35" s="8"/>
      <c r="Y35" s="8"/>
      <c r="Z35" s="8"/>
      <c r="AA35" s="34"/>
      <c r="AB35" s="8"/>
      <c r="AC35" s="8"/>
      <c r="AD35" s="8"/>
      <c r="AE35" s="34"/>
      <c r="AF35" s="8"/>
      <c r="AG35" s="8"/>
      <c r="AH35" s="8"/>
      <c r="AI35" s="34"/>
      <c r="AJ35" s="8"/>
      <c r="AK35" s="8"/>
      <c r="AL35" s="8"/>
      <c r="AM35" s="34"/>
      <c r="AN35" s="8"/>
      <c r="AO35" s="8"/>
      <c r="AP35" s="8"/>
      <c r="AQ35" s="34"/>
      <c r="AR35" s="8"/>
      <c r="AS35" s="8"/>
      <c r="AT35" s="8"/>
      <c r="AU35" s="34"/>
      <c r="AV35" s="8"/>
      <c r="AW35" s="8"/>
      <c r="AX35" s="8"/>
      <c r="AY35" s="34"/>
      <c r="AZ35" s="8"/>
      <c r="BA35" s="8"/>
      <c r="BB35" s="8"/>
      <c r="BC35" s="34"/>
      <c r="BD35" s="8"/>
      <c r="BE35" s="8"/>
      <c r="BF35" s="8"/>
    </row>
    <row r="36" spans="1:58" ht="14.4" thickBot="1">
      <c r="A36" s="37"/>
      <c r="B36" s="26"/>
      <c r="C36" s="27"/>
      <c r="D36" s="27"/>
      <c r="E36" s="9"/>
      <c r="F36" s="35"/>
      <c r="G36" s="35"/>
      <c r="H36" s="35"/>
      <c r="I36" s="35"/>
      <c r="J36" s="35"/>
      <c r="K36" s="35"/>
      <c r="L36" s="24"/>
      <c r="M36" s="24"/>
      <c r="N36" s="24"/>
      <c r="O36" s="35"/>
      <c r="P36" s="24"/>
      <c r="Q36" s="24"/>
      <c r="R36" s="24"/>
      <c r="S36" s="35"/>
      <c r="T36" s="24"/>
      <c r="U36" s="24"/>
      <c r="V36" s="24"/>
      <c r="W36" s="35"/>
      <c r="X36" s="24"/>
      <c r="Y36" s="24"/>
      <c r="Z36" s="24"/>
      <c r="AA36" s="35"/>
      <c r="AB36" s="24"/>
      <c r="AC36" s="24"/>
      <c r="AD36" s="24"/>
      <c r="AE36" s="35"/>
      <c r="AF36" s="24"/>
      <c r="AG36" s="24"/>
      <c r="AH36" s="24"/>
      <c r="AI36" s="35"/>
      <c r="AJ36" s="24"/>
      <c r="AK36" s="24"/>
      <c r="AL36" s="24"/>
      <c r="AM36" s="35"/>
      <c r="AN36" s="24"/>
      <c r="AO36" s="24"/>
      <c r="AP36" s="24"/>
      <c r="AQ36" s="35"/>
      <c r="AR36" s="24"/>
      <c r="AS36" s="24"/>
      <c r="AT36" s="24"/>
      <c r="AU36" s="35"/>
      <c r="AV36" s="24"/>
      <c r="AW36" s="24"/>
      <c r="AX36" s="24"/>
      <c r="AY36" s="35"/>
      <c r="AZ36" s="24"/>
      <c r="BA36" s="24"/>
      <c r="BB36" s="24"/>
      <c r="BC36" s="35"/>
      <c r="BD36" s="24"/>
      <c r="BE36" s="24"/>
      <c r="BF36" s="24"/>
    </row>
    <row r="37" spans="1:58" s="22" customFormat="1" ht="14.4" thickBot="1">
      <c r="A37" s="28">
        <f>COUNTIF($B$9:$B$36,"*")</f>
        <v>21</v>
      </c>
      <c r="B37" s="29" t="s">
        <v>5</v>
      </c>
      <c r="C37" s="29"/>
      <c r="D37" s="29"/>
      <c r="E37" s="10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</row>
    <row r="38" spans="1:58" ht="14.4" thickTop="1">
      <c r="A38" s="30"/>
      <c r="B38" s="23"/>
      <c r="C38" s="23"/>
      <c r="D38" s="23"/>
      <c r="E38" s="7"/>
    </row>
    <row r="39" spans="1:58" s="31" customFormat="1">
      <c r="B39" s="32" t="s">
        <v>6</v>
      </c>
      <c r="E39" s="11"/>
    </row>
    <row r="40" spans="1:58" s="31" customFormat="1">
      <c r="E40" s="11"/>
    </row>
    <row r="41" spans="1:58" s="31" customFormat="1">
      <c r="E41" s="11"/>
    </row>
    <row r="42" spans="1:58" s="31" customFormat="1">
      <c r="E42" s="11"/>
    </row>
    <row r="43" spans="1:58" s="31" customFormat="1">
      <c r="E43" s="11"/>
    </row>
    <row r="44" spans="1:58" s="31" customFormat="1">
      <c r="E44" s="11"/>
    </row>
    <row r="45" spans="1:58" s="31" customFormat="1">
      <c r="B45" s="33" t="s">
        <v>7</v>
      </c>
      <c r="E45" s="11"/>
    </row>
  </sheetData>
  <mergeCells count="16">
    <mergeCell ref="AM6:AP6"/>
    <mergeCell ref="AQ6:AT6"/>
    <mergeCell ref="AU6:AX6"/>
    <mergeCell ref="AY6:BB6"/>
    <mergeCell ref="BC6:BF6"/>
    <mergeCell ref="F6:G6"/>
    <mergeCell ref="H6:H7"/>
    <mergeCell ref="I6:I7"/>
    <mergeCell ref="J6:J7"/>
    <mergeCell ref="AI6:AL6"/>
    <mergeCell ref="K6:N6"/>
    <mergeCell ref="O6:R6"/>
    <mergeCell ref="S6:V6"/>
    <mergeCell ref="W6:Z6"/>
    <mergeCell ref="AA6:AD6"/>
    <mergeCell ref="AE6:AH6"/>
  </mergeCells>
  <pageMargins left="0.2" right="0" top="0.25" bottom="0.25" header="0.3" footer="0.3"/>
  <pageSetup paperSize="9" scale="95" orientation="landscape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114"/>
  <sheetViews>
    <sheetView showGridLines="0" workbookViewId="0">
      <selection activeCell="K85" sqref="K85"/>
    </sheetView>
  </sheetViews>
  <sheetFormatPr defaultRowHeight="14.4"/>
  <cols>
    <col min="1" max="1" width="5.5546875" style="278" bestFit="1" customWidth="1"/>
    <col min="2" max="2" width="17.88671875" bestFit="1" customWidth="1"/>
    <col min="3" max="3" width="11.6640625" bestFit="1" customWidth="1"/>
    <col min="4" max="4" width="10" bestFit="1" customWidth="1"/>
    <col min="5" max="5" width="9.33203125" bestFit="1" customWidth="1"/>
    <col min="6" max="6" width="10" bestFit="1" customWidth="1"/>
    <col min="7" max="7" width="11" bestFit="1" customWidth="1"/>
    <col min="8" max="8" width="10.5546875" bestFit="1" customWidth="1"/>
    <col min="9" max="9" width="10" bestFit="1" customWidth="1"/>
    <col min="10" max="10" width="11" bestFit="1" customWidth="1"/>
    <col min="11" max="11" width="10" style="281" bestFit="1" customWidth="1"/>
    <col min="12" max="12" width="11" style="276" customWidth="1"/>
    <col min="13" max="13" width="5.5546875" bestFit="1" customWidth="1"/>
    <col min="14" max="14" width="16.5546875" bestFit="1" customWidth="1"/>
    <col min="15" max="15" width="11.5546875" customWidth="1"/>
    <col min="16" max="16" width="11" bestFit="1" customWidth="1"/>
    <col min="18" max="18" width="10" bestFit="1" customWidth="1"/>
    <col min="19" max="19" width="11" bestFit="1" customWidth="1"/>
    <col min="20" max="20" width="10.5546875" bestFit="1" customWidth="1"/>
    <col min="21" max="21" width="10" bestFit="1" customWidth="1"/>
    <col min="22" max="22" width="11" bestFit="1" customWidth="1"/>
    <col min="23" max="23" width="10" bestFit="1" customWidth="1"/>
  </cols>
  <sheetData>
    <row r="1" spans="1:23">
      <c r="B1" t="s">
        <v>248</v>
      </c>
    </row>
    <row r="2" spans="1:23" s="254" customFormat="1" ht="19.2">
      <c r="A2" s="278"/>
      <c r="B2" s="249" t="s">
        <v>235</v>
      </c>
      <c r="C2" s="250" t="s">
        <v>236</v>
      </c>
      <c r="D2" s="251" t="s">
        <v>237</v>
      </c>
      <c r="E2" s="251" t="s">
        <v>237</v>
      </c>
      <c r="F2" s="252" t="s">
        <v>238</v>
      </c>
      <c r="G2" s="249" t="s">
        <v>239</v>
      </c>
      <c r="H2" s="253" t="s">
        <v>240</v>
      </c>
      <c r="I2" s="252" t="s">
        <v>83</v>
      </c>
      <c r="J2" s="249" t="s">
        <v>241</v>
      </c>
      <c r="K2" s="282"/>
      <c r="L2" s="277"/>
      <c r="N2" s="249" t="s">
        <v>235</v>
      </c>
      <c r="O2" s="250" t="s">
        <v>236</v>
      </c>
      <c r="P2" s="251" t="s">
        <v>237</v>
      </c>
      <c r="Q2" s="251" t="s">
        <v>237</v>
      </c>
      <c r="R2" s="252" t="s">
        <v>238</v>
      </c>
      <c r="S2" s="249" t="s">
        <v>239</v>
      </c>
      <c r="T2" s="253" t="s">
        <v>240</v>
      </c>
      <c r="U2" s="252" t="s">
        <v>83</v>
      </c>
      <c r="V2" s="249" t="s">
        <v>241</v>
      </c>
    </row>
    <row r="3" spans="1:23">
      <c r="A3" s="279">
        <v>1</v>
      </c>
      <c r="B3" s="255" t="s">
        <v>253</v>
      </c>
      <c r="C3" s="256">
        <v>1</v>
      </c>
      <c r="D3" s="257">
        <v>2</v>
      </c>
      <c r="E3" s="257">
        <v>3</v>
      </c>
      <c r="F3" s="257">
        <v>4</v>
      </c>
      <c r="G3" s="257">
        <v>5</v>
      </c>
      <c r="H3" s="258">
        <v>6</v>
      </c>
      <c r="I3" s="258">
        <v>7</v>
      </c>
      <c r="J3" s="259" t="s">
        <v>242</v>
      </c>
      <c r="K3" s="283"/>
      <c r="L3" s="274"/>
      <c r="N3" s="255" t="s">
        <v>249</v>
      </c>
      <c r="O3" s="256">
        <v>1</v>
      </c>
      <c r="P3" s="257">
        <v>2</v>
      </c>
      <c r="Q3" s="257">
        <v>3</v>
      </c>
      <c r="R3" s="257">
        <v>4</v>
      </c>
      <c r="S3" s="257">
        <v>5</v>
      </c>
      <c r="T3" s="258">
        <v>6</v>
      </c>
      <c r="U3" s="258">
        <v>7</v>
      </c>
      <c r="V3" s="259" t="s">
        <v>242</v>
      </c>
    </row>
    <row r="4" spans="1:23" s="267" customFormat="1" ht="13.8">
      <c r="A4" s="278"/>
      <c r="B4" s="260" t="s">
        <v>243</v>
      </c>
      <c r="C4" s="261">
        <v>9500000</v>
      </c>
      <c r="D4" s="262">
        <v>0</v>
      </c>
      <c r="E4" s="262">
        <v>0</v>
      </c>
      <c r="F4" s="263">
        <f t="shared" ref="F4:F6" si="0">C4*10.5%</f>
        <v>997500</v>
      </c>
      <c r="G4" s="263">
        <f>C4+D4+E4-F4</f>
        <v>8502500</v>
      </c>
      <c r="H4" s="264">
        <f t="shared" ref="H4:H6" si="1">IF((C4+D4+E4-F4-9000000)&lt;0,0,C4+D4+E4-F4-9000000)</f>
        <v>0</v>
      </c>
      <c r="I4" s="265">
        <f t="shared" ref="I4:I6" si="2">IF(AND(H4&lt;10000000,H4&gt;5000000),H4*10%-250000,IF(AND(H4&lt;18000000,H4&gt;10000000),H4*15%-750000,IF(AND(H4&lt;32000000,H4&gt;18000000),H4*20%-1650000,IF(AND(H4&lt;52000000,H4&gt;32000000),H4*25%-3250000,IF(AND(H4&lt;80000000,H4&gt;52000000),H4*30%-5850000,IF(H4&gt;80000000,H4*35%-9850000,H4*5%))))))</f>
        <v>0</v>
      </c>
      <c r="J4" s="266">
        <f>C4+D4+E4-F4-I4</f>
        <v>8502500</v>
      </c>
      <c r="K4" s="275"/>
      <c r="L4" s="275"/>
      <c r="N4" s="260" t="s">
        <v>243</v>
      </c>
      <c r="O4" s="261">
        <v>20000000</v>
      </c>
      <c r="P4" s="262">
        <v>31150000</v>
      </c>
      <c r="Q4" s="262">
        <v>0</v>
      </c>
      <c r="R4" s="263">
        <f t="shared" ref="R4:R6" si="3">O4*10.5%</f>
        <v>2100000</v>
      </c>
      <c r="S4" s="263">
        <f>O4+P4+Q4-R4</f>
        <v>49050000</v>
      </c>
      <c r="T4" s="264">
        <f>IF((O4+P4+Q4-R4-12600000)&lt;0,0,O4+P4+Q4-R4-12600000)</f>
        <v>36450000</v>
      </c>
      <c r="U4" s="265">
        <f t="shared" ref="U4:U6" si="4">IF(AND(T4&lt;10000000,T4&gt;5000000),T4*10%-250000,IF(AND(T4&lt;18000000,T4&gt;10000000),T4*15%-750000,IF(AND(T4&lt;32000000,T4&gt;18000000),T4*20%-1650000,IF(AND(T4&lt;52000000,T4&gt;32000000),T4*25%-3250000,IF(AND(T4&lt;80000000,T4&gt;52000000),T4*30%-5850000,IF(T4&gt;80000000,T4*35%-9850000,T4*5%))))))</f>
        <v>5862500</v>
      </c>
      <c r="V4" s="266">
        <f>O4+P4+Q4-R4-U4</f>
        <v>43187500</v>
      </c>
    </row>
    <row r="5" spans="1:23" s="267" customFormat="1" ht="13.8">
      <c r="A5" s="278"/>
      <c r="B5" s="260" t="s">
        <v>276</v>
      </c>
      <c r="C5" s="261">
        <f>C4+(C4*5%)</f>
        <v>9975000</v>
      </c>
      <c r="D5" s="262">
        <v>0</v>
      </c>
      <c r="E5" s="262">
        <v>0</v>
      </c>
      <c r="F5" s="263">
        <f t="shared" si="0"/>
        <v>1047375</v>
      </c>
      <c r="G5" s="263">
        <f>C5+D5+E5-F5</f>
        <v>8927625</v>
      </c>
      <c r="H5" s="264">
        <f t="shared" si="1"/>
        <v>0</v>
      </c>
      <c r="I5" s="265">
        <f t="shared" si="2"/>
        <v>0</v>
      </c>
      <c r="J5" s="266">
        <f>C5+D5+E5-F5-I5</f>
        <v>8927625</v>
      </c>
      <c r="K5" s="275"/>
      <c r="L5" s="275"/>
      <c r="N5" s="260" t="s">
        <v>276</v>
      </c>
      <c r="O5" s="261">
        <v>20000000</v>
      </c>
      <c r="P5" s="262">
        <f>P4+(P4*5%)</f>
        <v>32707500</v>
      </c>
      <c r="Q5" s="262">
        <v>0</v>
      </c>
      <c r="R5" s="263">
        <f t="shared" si="3"/>
        <v>2100000</v>
      </c>
      <c r="S5" s="263">
        <f>O5+P5+Q5-R5</f>
        <v>50607500</v>
      </c>
      <c r="T5" s="264">
        <f t="shared" ref="T5:T6" si="5">IF((O5+P5+Q5-R5-12600000)&lt;0,0,O5+P5+Q5-R5-12600000)</f>
        <v>38007500</v>
      </c>
      <c r="U5" s="265">
        <f t="shared" si="4"/>
        <v>6251875</v>
      </c>
      <c r="V5" s="266">
        <f>O5+P5+Q5-R5-U5</f>
        <v>44355625</v>
      </c>
    </row>
    <row r="6" spans="1:23">
      <c r="A6" s="280">
        <f>(C6/C4)-1</f>
        <v>0.10526315789473695</v>
      </c>
      <c r="B6" s="270" t="s">
        <v>277</v>
      </c>
      <c r="C6" s="272">
        <v>10500000</v>
      </c>
      <c r="D6" s="262">
        <v>0</v>
      </c>
      <c r="E6" s="262">
        <v>0</v>
      </c>
      <c r="F6" s="263">
        <f t="shared" si="0"/>
        <v>1102500</v>
      </c>
      <c r="G6" s="263">
        <f>C6+D6+E6-F6</f>
        <v>9397500</v>
      </c>
      <c r="H6" s="264">
        <f t="shared" si="1"/>
        <v>397500</v>
      </c>
      <c r="I6" s="265">
        <f t="shared" si="2"/>
        <v>19875</v>
      </c>
      <c r="J6" s="268">
        <f>C6+D6+E6-F6-I6</f>
        <v>9377625</v>
      </c>
      <c r="K6" s="275">
        <f>J6-J4</f>
        <v>875125</v>
      </c>
      <c r="L6" s="275"/>
      <c r="M6" s="271">
        <f>(P6/P4)-1</f>
        <v>0.187800963081862</v>
      </c>
      <c r="N6" s="260" t="s">
        <v>245</v>
      </c>
      <c r="O6" s="261">
        <v>20000000</v>
      </c>
      <c r="P6" s="262">
        <v>37000000</v>
      </c>
      <c r="Q6" s="262">
        <v>0</v>
      </c>
      <c r="R6" s="263">
        <f t="shared" si="3"/>
        <v>2100000</v>
      </c>
      <c r="S6" s="263">
        <f>O6+P6+Q6-R6</f>
        <v>54900000</v>
      </c>
      <c r="T6" s="264">
        <f t="shared" si="5"/>
        <v>42300000</v>
      </c>
      <c r="U6" s="265">
        <f t="shared" si="4"/>
        <v>7325000</v>
      </c>
      <c r="V6" s="268">
        <f>O6+P6+Q6-R6-U6</f>
        <v>47575000</v>
      </c>
      <c r="W6" s="273">
        <f>V6-V4</f>
        <v>4387500</v>
      </c>
    </row>
    <row r="7" spans="1:23" ht="10.199999999999999" customHeight="1"/>
    <row r="8" spans="1:23" s="254" customFormat="1" ht="19.2">
      <c r="A8" s="278"/>
      <c r="B8" s="249" t="s">
        <v>235</v>
      </c>
      <c r="C8" s="250" t="s">
        <v>236</v>
      </c>
      <c r="D8" s="251" t="s">
        <v>237</v>
      </c>
      <c r="E8" s="251" t="s">
        <v>237</v>
      </c>
      <c r="F8" s="252" t="s">
        <v>238</v>
      </c>
      <c r="G8" s="249" t="s">
        <v>239</v>
      </c>
      <c r="H8" s="253" t="s">
        <v>240</v>
      </c>
      <c r="I8" s="252" t="s">
        <v>83</v>
      </c>
      <c r="J8" s="249" t="s">
        <v>241</v>
      </c>
      <c r="K8" s="282"/>
      <c r="L8" s="277"/>
      <c r="N8" s="249" t="s">
        <v>235</v>
      </c>
      <c r="O8" s="250" t="s">
        <v>236</v>
      </c>
      <c r="P8" s="251" t="s">
        <v>237</v>
      </c>
      <c r="Q8" s="251" t="s">
        <v>237</v>
      </c>
      <c r="R8" s="252" t="s">
        <v>238</v>
      </c>
      <c r="S8" s="249" t="s">
        <v>239</v>
      </c>
      <c r="T8" s="253" t="s">
        <v>240</v>
      </c>
      <c r="U8" s="252" t="s">
        <v>83</v>
      </c>
      <c r="V8" s="249" t="s">
        <v>241</v>
      </c>
    </row>
    <row r="9" spans="1:23">
      <c r="A9" s="278">
        <v>2</v>
      </c>
      <c r="B9" s="255" t="s">
        <v>254</v>
      </c>
      <c r="C9" s="256">
        <v>1</v>
      </c>
      <c r="D9" s="257">
        <v>2</v>
      </c>
      <c r="E9" s="257">
        <v>3</v>
      </c>
      <c r="F9" s="257">
        <v>4</v>
      </c>
      <c r="G9" s="257">
        <v>5</v>
      </c>
      <c r="H9" s="258">
        <v>6</v>
      </c>
      <c r="I9" s="258">
        <v>7</v>
      </c>
      <c r="J9" s="259" t="s">
        <v>242</v>
      </c>
      <c r="K9" s="283"/>
      <c r="L9" s="274"/>
      <c r="N9" s="255" t="s">
        <v>250</v>
      </c>
      <c r="O9" s="256">
        <v>1</v>
      </c>
      <c r="P9" s="257">
        <v>2</v>
      </c>
      <c r="Q9" s="257">
        <v>3</v>
      </c>
      <c r="R9" s="257">
        <v>4</v>
      </c>
      <c r="S9" s="257">
        <v>5</v>
      </c>
      <c r="T9" s="258">
        <v>6</v>
      </c>
      <c r="U9" s="258">
        <v>7</v>
      </c>
      <c r="V9" s="259" t="s">
        <v>242</v>
      </c>
    </row>
    <row r="10" spans="1:23">
      <c r="B10" s="260" t="s">
        <v>243</v>
      </c>
      <c r="C10" s="261">
        <v>7850000</v>
      </c>
      <c r="D10" s="262">
        <v>800000</v>
      </c>
      <c r="E10" s="262">
        <v>0</v>
      </c>
      <c r="F10" s="263">
        <f>C10*10.5%</f>
        <v>824250</v>
      </c>
      <c r="G10" s="263">
        <f>C10+D10+E10-F10</f>
        <v>7825750</v>
      </c>
      <c r="H10" s="264">
        <f>IF((C10+D10+E10-F10-9000000)&lt;0,0,C10+D10+E10-F10-9000000)</f>
        <v>0</v>
      </c>
      <c r="I10" s="265">
        <f t="shared" ref="I10:I12" si="6">IF(AND(H10&lt;10000000,H10&gt;5000000),H10*10%-250000,IF(AND(H10&lt;18000000,H10&gt;10000000),H10*15%-750000,IF(AND(H10&lt;32000000,H10&gt;18000000),H10*20%-1650000,IF(AND(H10&lt;52000000,H10&gt;32000000),H10*25%-3250000,IF(AND(H10&lt;80000000,H10&gt;52000000),H10*30%-5850000,IF(H10&gt;80000000,H10*35%-9850000,H10*5%))))))</f>
        <v>0</v>
      </c>
      <c r="J10" s="266">
        <f>C10+D10+E10-F10-I10</f>
        <v>7825750</v>
      </c>
      <c r="K10" s="275"/>
      <c r="L10" s="275"/>
      <c r="N10" s="260" t="s">
        <v>243</v>
      </c>
      <c r="O10" s="261">
        <v>0</v>
      </c>
      <c r="P10" s="262">
        <v>31000000</v>
      </c>
      <c r="Q10" s="262">
        <v>0</v>
      </c>
      <c r="R10" s="263">
        <f t="shared" ref="R10:R12" si="7">O10*10.5%</f>
        <v>0</v>
      </c>
      <c r="S10" s="263">
        <f>O10+P10+Q10-R10</f>
        <v>31000000</v>
      </c>
      <c r="T10" s="264">
        <f>IF((O10+P10+Q10-R10-12600000)&lt;0,0,O10+P10+Q10-R10-12600000)</f>
        <v>18400000</v>
      </c>
      <c r="U10" s="265"/>
      <c r="V10" s="266">
        <f>O10+P10+Q10-R10-U10</f>
        <v>31000000</v>
      </c>
    </row>
    <row r="11" spans="1:23">
      <c r="B11" s="260" t="s">
        <v>276</v>
      </c>
      <c r="C11" s="261">
        <f>C10+(C10*5%)</f>
        <v>8242500</v>
      </c>
      <c r="D11" s="262">
        <v>800000</v>
      </c>
      <c r="E11" s="262">
        <v>0</v>
      </c>
      <c r="F11" s="263">
        <f>C11*10.5%</f>
        <v>865462.5</v>
      </c>
      <c r="G11" s="263">
        <f>C11+D11+E11-F11</f>
        <v>8177037.5</v>
      </c>
      <c r="H11" s="264">
        <f>IF((C11+D11+E11-F11-9000000)&lt;0,0,C11+D11+E11-F11-9000000)</f>
        <v>0</v>
      </c>
      <c r="I11" s="265">
        <f t="shared" si="6"/>
        <v>0</v>
      </c>
      <c r="J11" s="266">
        <f>C11+D11+E11-F11-I11</f>
        <v>8177037.5</v>
      </c>
      <c r="K11" s="275"/>
      <c r="L11" s="275"/>
      <c r="N11" s="260" t="s">
        <v>276</v>
      </c>
      <c r="O11" s="261">
        <v>0</v>
      </c>
      <c r="P11" s="262">
        <f>P10+(P10*5%)</f>
        <v>32550000</v>
      </c>
      <c r="Q11" s="262">
        <v>0</v>
      </c>
      <c r="R11" s="263">
        <f t="shared" si="7"/>
        <v>0</v>
      </c>
      <c r="S11" s="263">
        <f>O11+P11+Q11-R11</f>
        <v>32550000</v>
      </c>
      <c r="T11" s="264">
        <f t="shared" ref="T11:T12" si="8">IF((O11+P11+Q11-R11-12600000)&lt;0,0,O11+P11+Q11-R11-12600000)</f>
        <v>19950000</v>
      </c>
      <c r="U11" s="265"/>
      <c r="V11" s="266">
        <f>O11+P11+Q11-R11-U11</f>
        <v>32550000</v>
      </c>
    </row>
    <row r="12" spans="1:23">
      <c r="A12" s="280">
        <f>(C12/C10)-1</f>
        <v>0.12738853503184711</v>
      </c>
      <c r="B12" s="269" t="s">
        <v>245</v>
      </c>
      <c r="C12" s="272">
        <v>8850000</v>
      </c>
      <c r="D12" s="284">
        <v>800000</v>
      </c>
      <c r="E12" s="262">
        <v>0</v>
      </c>
      <c r="F12" s="263">
        <f>C12*10.5%</f>
        <v>929250</v>
      </c>
      <c r="G12" s="263">
        <f>C12+D12+E12-F12</f>
        <v>8720750</v>
      </c>
      <c r="H12" s="264">
        <f>IF((C12+D12+E12-F12-9000000)&lt;0,0,C12+D12+E12-F12-9000000)</f>
        <v>0</v>
      </c>
      <c r="I12" s="265">
        <f t="shared" si="6"/>
        <v>0</v>
      </c>
      <c r="J12" s="268">
        <f>C12+D12+E12-F12-I12</f>
        <v>8720750</v>
      </c>
      <c r="K12" s="275">
        <f>J12-J10</f>
        <v>895000</v>
      </c>
      <c r="L12" s="275"/>
      <c r="M12" s="271">
        <f>(P12/P10)-1</f>
        <v>0.12903225806451624</v>
      </c>
      <c r="N12" s="260" t="s">
        <v>245</v>
      </c>
      <c r="O12" s="261">
        <v>0</v>
      </c>
      <c r="P12" s="262">
        <v>35000000</v>
      </c>
      <c r="Q12" s="262">
        <v>0</v>
      </c>
      <c r="R12" s="263">
        <f t="shared" si="7"/>
        <v>0</v>
      </c>
      <c r="S12" s="263">
        <f>O12+P12+Q12-R12</f>
        <v>35000000</v>
      </c>
      <c r="T12" s="264">
        <f t="shared" si="8"/>
        <v>22400000</v>
      </c>
      <c r="U12" s="265"/>
      <c r="V12" s="268">
        <f>O12+P12+Q12-R12-U12</f>
        <v>35000000</v>
      </c>
      <c r="W12" s="273">
        <f>V12-V10</f>
        <v>4000000</v>
      </c>
    </row>
    <row r="13" spans="1:23" ht="10.199999999999999" customHeight="1"/>
    <row r="14" spans="1:23" s="254" customFormat="1" ht="19.2">
      <c r="A14" s="278"/>
      <c r="B14" s="249" t="s">
        <v>235</v>
      </c>
      <c r="C14" s="250" t="s">
        <v>236</v>
      </c>
      <c r="D14" s="251" t="s">
        <v>237</v>
      </c>
      <c r="E14" s="251" t="s">
        <v>237</v>
      </c>
      <c r="F14" s="252" t="s">
        <v>238</v>
      </c>
      <c r="G14" s="249" t="s">
        <v>239</v>
      </c>
      <c r="H14" s="253" t="s">
        <v>240</v>
      </c>
      <c r="I14" s="252" t="s">
        <v>83</v>
      </c>
      <c r="J14" s="249" t="s">
        <v>241</v>
      </c>
      <c r="K14" s="282"/>
      <c r="L14" s="277"/>
      <c r="N14" s="249" t="s">
        <v>235</v>
      </c>
      <c r="O14" s="250" t="s">
        <v>236</v>
      </c>
      <c r="P14" s="251" t="s">
        <v>237</v>
      </c>
      <c r="Q14" s="251" t="s">
        <v>237</v>
      </c>
      <c r="R14" s="252" t="s">
        <v>238</v>
      </c>
      <c r="S14" s="249" t="s">
        <v>239</v>
      </c>
      <c r="T14" s="253" t="s">
        <v>240</v>
      </c>
      <c r="U14" s="252" t="s">
        <v>83</v>
      </c>
      <c r="V14" s="249" t="s">
        <v>241</v>
      </c>
    </row>
    <row r="15" spans="1:23">
      <c r="A15" s="278">
        <v>3</v>
      </c>
      <c r="B15" s="255" t="s">
        <v>255</v>
      </c>
      <c r="C15" s="256">
        <v>1</v>
      </c>
      <c r="D15" s="257">
        <v>2</v>
      </c>
      <c r="E15" s="257">
        <v>3</v>
      </c>
      <c r="F15" s="257">
        <v>4</v>
      </c>
      <c r="G15" s="257">
        <v>5</v>
      </c>
      <c r="H15" s="258">
        <v>6</v>
      </c>
      <c r="I15" s="258">
        <v>7</v>
      </c>
      <c r="J15" s="259" t="s">
        <v>242</v>
      </c>
      <c r="K15" s="283"/>
      <c r="L15" s="274"/>
      <c r="N15" s="255" t="s">
        <v>251</v>
      </c>
      <c r="O15" s="256">
        <v>1</v>
      </c>
      <c r="P15" s="257">
        <v>2</v>
      </c>
      <c r="Q15" s="257">
        <v>3</v>
      </c>
      <c r="R15" s="257">
        <v>4</v>
      </c>
      <c r="S15" s="257">
        <v>5</v>
      </c>
      <c r="T15" s="258">
        <v>6</v>
      </c>
      <c r="U15" s="258">
        <v>7</v>
      </c>
      <c r="V15" s="259" t="s">
        <v>242</v>
      </c>
    </row>
    <row r="16" spans="1:23">
      <c r="B16" s="260" t="s">
        <v>243</v>
      </c>
      <c r="C16" s="261">
        <v>39000000</v>
      </c>
      <c r="D16" s="262">
        <v>8640000</v>
      </c>
      <c r="E16" s="262">
        <v>0</v>
      </c>
      <c r="F16" s="263">
        <f>C16*10.5%</f>
        <v>4095000</v>
      </c>
      <c r="G16" s="263">
        <f>C16+D16+E16-F16</f>
        <v>43545000</v>
      </c>
      <c r="H16" s="264">
        <f>IF((C16+D16+E16-F16-12600000)&lt;0,0,C16+D16+E16-F16-12600000)</f>
        <v>30945000</v>
      </c>
      <c r="I16" s="265">
        <f t="shared" ref="I16:I18" si="9">IF(AND(H16&lt;10000000,H16&gt;5000000),H16*10%-250000,IF(AND(H16&lt;18000000,H16&gt;10000000),H16*15%-750000,IF(AND(H16&lt;32000000,H16&gt;18000000),H16*20%-1650000,IF(AND(H16&lt;52000000,H16&gt;32000000),H16*25%-3250000,IF(AND(H16&lt;80000000,H16&gt;52000000),H16*30%-5850000,IF(H16&gt;80000000,H16*35%-9850000,H16*5%))))))</f>
        <v>4539000</v>
      </c>
      <c r="J16" s="266">
        <f>C16+D16+E16-F16-I16</f>
        <v>39006000</v>
      </c>
      <c r="K16" s="275"/>
      <c r="L16" s="275"/>
      <c r="N16" s="260" t="s">
        <v>243</v>
      </c>
      <c r="O16" s="261">
        <v>0</v>
      </c>
      <c r="P16" s="262">
        <v>15000000</v>
      </c>
      <c r="Q16" s="262">
        <v>0</v>
      </c>
      <c r="R16" s="263">
        <f t="shared" ref="R16:R18" si="10">O16*10.5%</f>
        <v>0</v>
      </c>
      <c r="S16" s="263">
        <f>O16+P16+Q16-R16</f>
        <v>15000000</v>
      </c>
      <c r="T16" s="264">
        <f>IF((O16+P16+Q16-R16-12600000)&lt;0,0,O16+P16+Q16-R16-12600000)</f>
        <v>2400000</v>
      </c>
      <c r="U16" s="265">
        <f t="shared" ref="U16:U18" si="11">IF(AND(T16&lt;10000000,T16&gt;5000000),T16*10%-250000,IF(AND(T16&lt;18000000,T16&gt;10000000),T16*15%-750000,IF(AND(T16&lt;32000000,T16&gt;18000000),T16*20%-1650000,IF(AND(T16&lt;52000000,T16&gt;32000000),T16*25%-3250000,IF(AND(T16&lt;80000000,T16&gt;52000000),T16*30%-5850000,IF(T16&gt;80000000,T16*35%-9850000,T16*5%))))))</f>
        <v>120000</v>
      </c>
      <c r="V16" s="266">
        <f>O16+P16+Q16-R16-U16</f>
        <v>14880000</v>
      </c>
    </row>
    <row r="17" spans="1:23">
      <c r="B17" s="260" t="s">
        <v>276</v>
      </c>
      <c r="C17" s="261">
        <f>C16+(C16*5%)</f>
        <v>40950000</v>
      </c>
      <c r="D17" s="262">
        <v>8640000</v>
      </c>
      <c r="E17" s="262">
        <v>0</v>
      </c>
      <c r="F17" s="263">
        <f>C17*10.5%</f>
        <v>4299750</v>
      </c>
      <c r="G17" s="263">
        <f>C17+D17+E17-F17</f>
        <v>45290250</v>
      </c>
      <c r="H17" s="264">
        <f t="shared" ref="H17:H18" si="12">IF((C17+D17+E17-F17-12600000)&lt;0,0,C17+D17+E17-F17-12600000)</f>
        <v>32690250</v>
      </c>
      <c r="I17" s="265">
        <f t="shared" si="9"/>
        <v>4922562.5</v>
      </c>
      <c r="J17" s="266">
        <f>C17+D17+E17-F17-I17</f>
        <v>40367687.5</v>
      </c>
      <c r="K17" s="275"/>
      <c r="L17" s="275"/>
      <c r="N17" s="260" t="s">
        <v>276</v>
      </c>
      <c r="O17" s="261">
        <v>0</v>
      </c>
      <c r="P17" s="262">
        <f>P16+(P16*5%)</f>
        <v>15750000</v>
      </c>
      <c r="Q17" s="262">
        <v>0</v>
      </c>
      <c r="R17" s="263">
        <f t="shared" si="10"/>
        <v>0</v>
      </c>
      <c r="S17" s="263">
        <f>O17+P17+Q17-R17</f>
        <v>15750000</v>
      </c>
      <c r="T17" s="264">
        <f t="shared" ref="T17:T18" si="13">IF((O17+P17+Q17-R17-12600000)&lt;0,0,O17+P17+Q17-R17-12600000)</f>
        <v>3150000</v>
      </c>
      <c r="U17" s="265">
        <f t="shared" si="11"/>
        <v>157500</v>
      </c>
      <c r="V17" s="266">
        <f>O17+P17+Q17-R17-U17</f>
        <v>15592500</v>
      </c>
    </row>
    <row r="18" spans="1:23">
      <c r="A18" s="280">
        <f>((C18+D18)/(C16+D16))-1</f>
        <v>3.3585222502099388E-3</v>
      </c>
      <c r="B18" s="269" t="s">
        <v>272</v>
      </c>
      <c r="C18" s="272">
        <f>C16+(C16*0%)</f>
        <v>39000000</v>
      </c>
      <c r="D18" s="284">
        <v>8800000</v>
      </c>
      <c r="E18" s="262">
        <v>0</v>
      </c>
      <c r="F18" s="263">
        <f>C18*10.5%</f>
        <v>4095000</v>
      </c>
      <c r="G18" s="263">
        <f>C18+D18+E18-F18</f>
        <v>43705000</v>
      </c>
      <c r="H18" s="264">
        <f t="shared" si="12"/>
        <v>31105000</v>
      </c>
      <c r="I18" s="265">
        <f t="shared" si="9"/>
        <v>4571000</v>
      </c>
      <c r="J18" s="268">
        <f>C18+D18+E18-F18-I18</f>
        <v>39134000</v>
      </c>
      <c r="K18" s="275">
        <f>J18-J16</f>
        <v>128000</v>
      </c>
      <c r="L18" s="275"/>
      <c r="M18" s="271">
        <f>(P18/P16)-1</f>
        <v>0.12000000000000011</v>
      </c>
      <c r="N18" s="260" t="s">
        <v>252</v>
      </c>
      <c r="O18" s="261">
        <v>0</v>
      </c>
      <c r="P18" s="262">
        <v>16800000</v>
      </c>
      <c r="Q18" s="262">
        <v>0</v>
      </c>
      <c r="R18" s="263">
        <f t="shared" si="10"/>
        <v>0</v>
      </c>
      <c r="S18" s="263">
        <f>O18+P18+Q18-R18</f>
        <v>16800000</v>
      </c>
      <c r="T18" s="264">
        <f t="shared" si="13"/>
        <v>4200000</v>
      </c>
      <c r="U18" s="265">
        <f t="shared" si="11"/>
        <v>210000</v>
      </c>
      <c r="V18" s="268">
        <f>O18+P18+Q18-R18-U18</f>
        <v>16590000</v>
      </c>
      <c r="W18" s="273">
        <f>V18-V16</f>
        <v>1710000</v>
      </c>
    </row>
    <row r="19" spans="1:23" ht="10.199999999999999" customHeight="1"/>
    <row r="20" spans="1:23" s="254" customFormat="1" ht="19.2">
      <c r="A20" s="278"/>
      <c r="B20" s="249" t="s">
        <v>235</v>
      </c>
      <c r="C20" s="250" t="s">
        <v>236</v>
      </c>
      <c r="D20" s="251" t="s">
        <v>237</v>
      </c>
      <c r="E20" s="251" t="s">
        <v>237</v>
      </c>
      <c r="F20" s="252" t="s">
        <v>238</v>
      </c>
      <c r="G20" s="249" t="s">
        <v>239</v>
      </c>
      <c r="H20" s="253" t="s">
        <v>240</v>
      </c>
      <c r="I20" s="252" t="s">
        <v>83</v>
      </c>
      <c r="J20" s="249" t="s">
        <v>241</v>
      </c>
      <c r="K20" s="282"/>
      <c r="L20" s="277"/>
    </row>
    <row r="21" spans="1:23">
      <c r="A21" s="278">
        <v>4</v>
      </c>
      <c r="B21" s="255" t="s">
        <v>256</v>
      </c>
      <c r="C21" s="256">
        <v>1</v>
      </c>
      <c r="D21" s="257">
        <v>2</v>
      </c>
      <c r="E21" s="257">
        <v>3</v>
      </c>
      <c r="F21" s="257">
        <v>4</v>
      </c>
      <c r="G21" s="257">
        <v>5</v>
      </c>
      <c r="H21" s="258">
        <v>6</v>
      </c>
      <c r="I21" s="258">
        <v>7</v>
      </c>
      <c r="J21" s="259" t="s">
        <v>242</v>
      </c>
      <c r="K21" s="283"/>
      <c r="L21" s="274"/>
    </row>
    <row r="22" spans="1:23">
      <c r="B22" s="260" t="s">
        <v>243</v>
      </c>
      <c r="C22" s="261">
        <v>8500000</v>
      </c>
      <c r="D22" s="262">
        <v>500000</v>
      </c>
      <c r="E22" s="262">
        <v>0</v>
      </c>
      <c r="F22" s="263">
        <f>C22*10.5%</f>
        <v>892500</v>
      </c>
      <c r="G22" s="263">
        <f>C22+D22+E22-F22</f>
        <v>8107500</v>
      </c>
      <c r="H22" s="264">
        <f>IF((C22+D22+E22-F22-12600000)&lt;0,0,C22+D22+E22-F22-12600000)</f>
        <v>0</v>
      </c>
      <c r="I22" s="265">
        <f t="shared" ref="I22:I24" si="14">IF(AND(H22&lt;10000000,H22&gt;5000000),H22*10%-250000,IF(AND(H22&lt;18000000,H22&gt;10000000),H22*15%-750000,IF(AND(H22&lt;32000000,H22&gt;18000000),H22*20%-1650000,IF(AND(H22&lt;52000000,H22&gt;32000000),H22*25%-3250000,IF(AND(H22&lt;80000000,H22&gt;52000000),H22*30%-5850000,IF(H22&gt;80000000,H22*35%-9850000,H22*5%))))))</f>
        <v>0</v>
      </c>
      <c r="J22" s="266">
        <f>C22+D22+E22-F22-I22</f>
        <v>8107500</v>
      </c>
      <c r="K22" s="275"/>
      <c r="L22" s="275"/>
    </row>
    <row r="23" spans="1:23">
      <c r="B23" s="260" t="s">
        <v>276</v>
      </c>
      <c r="C23" s="261">
        <f>C22+(C22*5%)</f>
        <v>8925000</v>
      </c>
      <c r="D23" s="262">
        <v>500000</v>
      </c>
      <c r="E23" s="262">
        <v>0</v>
      </c>
      <c r="F23" s="263">
        <f>C23*10.5%</f>
        <v>937125</v>
      </c>
      <c r="G23" s="263">
        <f>C23+D23+E23-F23</f>
        <v>8487875</v>
      </c>
      <c r="H23" s="264">
        <f t="shared" ref="H23:H24" si="15">IF((C23+D23+E23-F23-12600000)&lt;0,0,C23+D23+E23-F23-12600000)</f>
        <v>0</v>
      </c>
      <c r="I23" s="265">
        <f t="shared" si="14"/>
        <v>0</v>
      </c>
      <c r="J23" s="266">
        <f>C23+D23+E23-F23-I23</f>
        <v>8487875</v>
      </c>
      <c r="K23" s="275"/>
      <c r="L23" s="275"/>
    </row>
    <row r="24" spans="1:23">
      <c r="A24" s="280">
        <f>((C24+D24)/(C22+D22))-1</f>
        <v>0.10000000000000009</v>
      </c>
      <c r="B24" s="269" t="s">
        <v>273</v>
      </c>
      <c r="C24" s="272">
        <v>9400000</v>
      </c>
      <c r="D24" s="284">
        <v>500000</v>
      </c>
      <c r="E24" s="262">
        <v>0</v>
      </c>
      <c r="F24" s="263">
        <f>C24*10.5%</f>
        <v>987000</v>
      </c>
      <c r="G24" s="263">
        <f>C24+D24+E24-F24</f>
        <v>8913000</v>
      </c>
      <c r="H24" s="264">
        <f t="shared" si="15"/>
        <v>0</v>
      </c>
      <c r="I24" s="265">
        <f t="shared" si="14"/>
        <v>0</v>
      </c>
      <c r="J24" s="268">
        <f>C24+D24+E24-F24-I24</f>
        <v>8913000</v>
      </c>
      <c r="K24" s="275">
        <f>J24-J22</f>
        <v>805500</v>
      </c>
      <c r="L24" s="275"/>
    </row>
    <row r="25" spans="1:23" ht="10.199999999999999" customHeight="1"/>
    <row r="26" spans="1:23" s="254" customFormat="1" ht="19.2">
      <c r="A26" s="278"/>
      <c r="B26" s="249" t="s">
        <v>235</v>
      </c>
      <c r="C26" s="250" t="s">
        <v>236</v>
      </c>
      <c r="D26" s="251" t="s">
        <v>237</v>
      </c>
      <c r="E26" s="251" t="s">
        <v>237</v>
      </c>
      <c r="F26" s="252" t="s">
        <v>238</v>
      </c>
      <c r="G26" s="249" t="s">
        <v>239</v>
      </c>
      <c r="H26" s="253" t="s">
        <v>240</v>
      </c>
      <c r="I26" s="252" t="s">
        <v>83</v>
      </c>
      <c r="J26" s="249" t="s">
        <v>241</v>
      </c>
      <c r="K26" s="282"/>
      <c r="L26" s="277"/>
    </row>
    <row r="27" spans="1:23">
      <c r="A27" s="278">
        <v>5</v>
      </c>
      <c r="B27" s="255" t="s">
        <v>257</v>
      </c>
      <c r="C27" s="256">
        <v>1</v>
      </c>
      <c r="D27" s="257">
        <v>2</v>
      </c>
      <c r="E27" s="257">
        <v>3</v>
      </c>
      <c r="F27" s="257">
        <v>4</v>
      </c>
      <c r="G27" s="257">
        <v>5</v>
      </c>
      <c r="H27" s="258">
        <v>6</v>
      </c>
      <c r="I27" s="258">
        <v>7</v>
      </c>
      <c r="J27" s="259" t="s">
        <v>242</v>
      </c>
      <c r="K27" s="283"/>
      <c r="L27" s="274"/>
    </row>
    <row r="28" spans="1:23">
      <c r="B28" s="260" t="s">
        <v>243</v>
      </c>
      <c r="C28" s="261">
        <v>5500000</v>
      </c>
      <c r="D28" s="262">
        <v>500000</v>
      </c>
      <c r="E28" s="262">
        <v>0</v>
      </c>
      <c r="F28" s="263">
        <f>C28*10.5%</f>
        <v>577500</v>
      </c>
      <c r="G28" s="263">
        <f>C28+D28+E28-F28</f>
        <v>5422500</v>
      </c>
      <c r="H28" s="264">
        <f t="shared" ref="H28:H30" si="16">IF((C28+D28+E28-F28-9000000)&lt;0,0,C28+D28+E28-F28-9000000)</f>
        <v>0</v>
      </c>
      <c r="I28" s="265">
        <f t="shared" ref="I28:I30" si="17">IF(AND(H28&lt;10000000,H28&gt;5000000),H28*10%-250000,IF(AND(H28&lt;18000000,H28&gt;10000000),H28*15%-750000,IF(AND(H28&lt;32000000,H28&gt;18000000),H28*20%-1650000,IF(AND(H28&lt;52000000,H28&gt;32000000),H28*25%-3250000,IF(AND(H28&lt;80000000,H28&gt;52000000),H28*30%-5850000,IF(H28&gt;80000000,H28*35%-9850000,H28*5%))))))</f>
        <v>0</v>
      </c>
      <c r="J28" s="266">
        <f>C28+D28+E28-F28-I28</f>
        <v>5422500</v>
      </c>
      <c r="K28" s="275"/>
      <c r="L28" s="275"/>
    </row>
    <row r="29" spans="1:23">
      <c r="B29" s="260" t="s">
        <v>276</v>
      </c>
      <c r="C29" s="261">
        <f>C28+(C28*5%)</f>
        <v>5775000</v>
      </c>
      <c r="D29" s="262">
        <v>500000</v>
      </c>
      <c r="E29" s="262">
        <v>0</v>
      </c>
      <c r="F29" s="263">
        <f>C29*10.5%</f>
        <v>606375</v>
      </c>
      <c r="G29" s="263">
        <f>C29+D29+E29-F29</f>
        <v>5668625</v>
      </c>
      <c r="H29" s="264">
        <f t="shared" si="16"/>
        <v>0</v>
      </c>
      <c r="I29" s="265">
        <f t="shared" si="17"/>
        <v>0</v>
      </c>
      <c r="J29" s="266">
        <f>C29+D29+E29-F29-I29</f>
        <v>5668625</v>
      </c>
      <c r="K29" s="275"/>
      <c r="L29" s="275"/>
    </row>
    <row r="30" spans="1:23">
      <c r="A30" s="280">
        <f>((C30+D30)/(C28+D28))-1</f>
        <v>0.10000000000000009</v>
      </c>
      <c r="B30" s="269" t="s">
        <v>246</v>
      </c>
      <c r="C30" s="272">
        <v>6100000</v>
      </c>
      <c r="D30" s="284">
        <v>500000</v>
      </c>
      <c r="E30" s="262">
        <v>0</v>
      </c>
      <c r="F30" s="263">
        <f>C30*10.5%</f>
        <v>640500</v>
      </c>
      <c r="G30" s="263">
        <f>C30+D30+E30-F30</f>
        <v>5959500</v>
      </c>
      <c r="H30" s="264">
        <f t="shared" si="16"/>
        <v>0</v>
      </c>
      <c r="I30" s="265">
        <f t="shared" si="17"/>
        <v>0</v>
      </c>
      <c r="J30" s="268">
        <f>C30+D30+E30-F30-I30</f>
        <v>5959500</v>
      </c>
      <c r="K30" s="275">
        <f>J30-J28</f>
        <v>537000</v>
      </c>
      <c r="L30" s="275"/>
    </row>
    <row r="31" spans="1:23" ht="10.199999999999999" customHeight="1"/>
    <row r="32" spans="1:23" s="254" customFormat="1" ht="19.2">
      <c r="A32" s="278"/>
      <c r="B32" s="249" t="s">
        <v>235</v>
      </c>
      <c r="C32" s="250" t="s">
        <v>236</v>
      </c>
      <c r="D32" s="251" t="s">
        <v>237</v>
      </c>
      <c r="E32" s="251" t="s">
        <v>237</v>
      </c>
      <c r="F32" s="252" t="s">
        <v>238</v>
      </c>
      <c r="G32" s="249" t="s">
        <v>239</v>
      </c>
      <c r="H32" s="253" t="s">
        <v>240</v>
      </c>
      <c r="I32" s="252" t="s">
        <v>83</v>
      </c>
      <c r="J32" s="249" t="s">
        <v>241</v>
      </c>
      <c r="K32" s="282"/>
      <c r="L32" s="277"/>
    </row>
    <row r="33" spans="1:12">
      <c r="A33" s="278">
        <v>6</v>
      </c>
      <c r="B33" s="255" t="s">
        <v>258</v>
      </c>
      <c r="C33" s="256">
        <v>1</v>
      </c>
      <c r="D33" s="257">
        <v>2</v>
      </c>
      <c r="E33" s="257">
        <v>3</v>
      </c>
      <c r="F33" s="257">
        <v>4</v>
      </c>
      <c r="G33" s="257">
        <v>5</v>
      </c>
      <c r="H33" s="258">
        <v>6</v>
      </c>
      <c r="I33" s="258">
        <v>7</v>
      </c>
      <c r="J33" s="259" t="s">
        <v>242</v>
      </c>
      <c r="K33" s="283"/>
      <c r="L33" s="274"/>
    </row>
    <row r="34" spans="1:12">
      <c r="B34" s="260" t="s">
        <v>243</v>
      </c>
      <c r="C34" s="261">
        <v>7500000</v>
      </c>
      <c r="D34" s="262">
        <v>750000</v>
      </c>
      <c r="E34" s="262">
        <v>0</v>
      </c>
      <c r="F34" s="263">
        <f>C34*10.5%</f>
        <v>787500</v>
      </c>
      <c r="G34" s="263">
        <f>C34+D34+E34-F34</f>
        <v>7462500</v>
      </c>
      <c r="H34" s="264">
        <f t="shared" ref="H34:H36" si="18">IF((C34+D34+E34-F34-9000000)&lt;0,0,C34+D34+E34-F34-9000000)</f>
        <v>0</v>
      </c>
      <c r="I34" s="265">
        <f t="shared" ref="I34:I36" si="19">IF(AND(H34&lt;10000000,H34&gt;5000000),H34*10%-250000,IF(AND(H34&lt;18000000,H34&gt;10000000),H34*15%-750000,IF(AND(H34&lt;32000000,H34&gt;18000000),H34*20%-1650000,IF(AND(H34&lt;52000000,H34&gt;32000000),H34*25%-3250000,IF(AND(H34&lt;80000000,H34&gt;52000000),H34*30%-5850000,IF(H34&gt;80000000,H34*35%-9850000,H34*5%))))))</f>
        <v>0</v>
      </c>
      <c r="J34" s="266">
        <f>C34+D34+E34-F34-I34</f>
        <v>7462500</v>
      </c>
      <c r="K34" s="275"/>
      <c r="L34" s="275"/>
    </row>
    <row r="35" spans="1:12">
      <c r="B35" s="260" t="s">
        <v>276</v>
      </c>
      <c r="C35" s="261">
        <f>C34+(C34*5%)</f>
        <v>7875000</v>
      </c>
      <c r="D35" s="262">
        <v>750000</v>
      </c>
      <c r="E35" s="262">
        <v>0</v>
      </c>
      <c r="F35" s="263">
        <f>C35*10.5%</f>
        <v>826875</v>
      </c>
      <c r="G35" s="263">
        <f>C35+D35+E35-F35</f>
        <v>7798125</v>
      </c>
      <c r="H35" s="264">
        <f t="shared" si="18"/>
        <v>0</v>
      </c>
      <c r="I35" s="265">
        <f t="shared" si="19"/>
        <v>0</v>
      </c>
      <c r="J35" s="266">
        <f>C35+D35+E35-F35-I35</f>
        <v>7798125</v>
      </c>
      <c r="K35" s="275"/>
      <c r="L35" s="275"/>
    </row>
    <row r="36" spans="1:12">
      <c r="A36" s="280">
        <f>((C36+D36)/(C34+D34))-1</f>
        <v>4.8484848484848575E-2</v>
      </c>
      <c r="B36" s="269" t="s">
        <v>274</v>
      </c>
      <c r="C36" s="272">
        <v>7900000</v>
      </c>
      <c r="D36" s="284">
        <v>750000</v>
      </c>
      <c r="E36" s="262">
        <v>0</v>
      </c>
      <c r="F36" s="263">
        <f>C36*10.5%</f>
        <v>829500</v>
      </c>
      <c r="G36" s="263">
        <f>C36+D36+E36-F36</f>
        <v>7820500</v>
      </c>
      <c r="H36" s="264">
        <f t="shared" si="18"/>
        <v>0</v>
      </c>
      <c r="I36" s="265">
        <f t="shared" si="19"/>
        <v>0</v>
      </c>
      <c r="J36" s="268">
        <f>C36+D36+E36-F36-I36</f>
        <v>7820500</v>
      </c>
      <c r="K36" s="275">
        <f>J36-J34</f>
        <v>358000</v>
      </c>
      <c r="L36" s="275"/>
    </row>
    <row r="37" spans="1:12" ht="10.199999999999999" customHeight="1"/>
    <row r="38" spans="1:12" s="254" customFormat="1" ht="19.2">
      <c r="A38" s="278"/>
      <c r="B38" s="249" t="s">
        <v>235</v>
      </c>
      <c r="C38" s="250" t="s">
        <v>236</v>
      </c>
      <c r="D38" s="251" t="s">
        <v>237</v>
      </c>
      <c r="E38" s="251" t="s">
        <v>237</v>
      </c>
      <c r="F38" s="252" t="s">
        <v>238</v>
      </c>
      <c r="G38" s="249" t="s">
        <v>239</v>
      </c>
      <c r="H38" s="253" t="s">
        <v>240</v>
      </c>
      <c r="I38" s="252" t="s">
        <v>83</v>
      </c>
      <c r="J38" s="249" t="s">
        <v>241</v>
      </c>
      <c r="K38" s="282"/>
      <c r="L38" s="277"/>
    </row>
    <row r="39" spans="1:12">
      <c r="A39" s="278">
        <v>7</v>
      </c>
      <c r="B39" s="255" t="s">
        <v>259</v>
      </c>
      <c r="C39" s="256">
        <v>1</v>
      </c>
      <c r="D39" s="257">
        <v>2</v>
      </c>
      <c r="E39" s="257">
        <v>3</v>
      </c>
      <c r="F39" s="257">
        <v>4</v>
      </c>
      <c r="G39" s="257">
        <v>5</v>
      </c>
      <c r="H39" s="258">
        <v>6</v>
      </c>
      <c r="I39" s="258">
        <v>7</v>
      </c>
      <c r="J39" s="259" t="s">
        <v>242</v>
      </c>
      <c r="K39" s="283"/>
      <c r="L39" s="274"/>
    </row>
    <row r="40" spans="1:12">
      <c r="B40" s="260" t="s">
        <v>243</v>
      </c>
      <c r="C40" s="261">
        <v>7000000</v>
      </c>
      <c r="D40" s="262">
        <v>1800000</v>
      </c>
      <c r="E40" s="262">
        <v>0</v>
      </c>
      <c r="F40" s="263">
        <f>C40*10.5%</f>
        <v>735000</v>
      </c>
      <c r="G40" s="263">
        <f>C40+D40+E40-F40</f>
        <v>8065000</v>
      </c>
      <c r="H40" s="264">
        <f t="shared" ref="H40:H42" si="20">IF((C40+D40+E40-F40-12600000)&lt;0,0,C40+D40+E40-F40-12600000)</f>
        <v>0</v>
      </c>
      <c r="I40" s="265">
        <f t="shared" ref="I40:I42" si="21">IF(AND(H40&lt;10000000,H40&gt;5000000),H40*10%-250000,IF(AND(H40&lt;18000000,H40&gt;10000000),H40*15%-750000,IF(AND(H40&lt;32000000,H40&gt;18000000),H40*20%-1650000,IF(AND(H40&lt;52000000,H40&gt;32000000),H40*25%-3250000,IF(AND(H40&lt;80000000,H40&gt;52000000),H40*30%-5850000,IF(H40&gt;80000000,H40*35%-9850000,H40*5%))))))</f>
        <v>0</v>
      </c>
      <c r="J40" s="266">
        <f>C40+D40+E40-F40-I40</f>
        <v>8065000</v>
      </c>
      <c r="K40" s="275"/>
      <c r="L40" s="275"/>
    </row>
    <row r="41" spans="1:12">
      <c r="B41" s="260" t="s">
        <v>276</v>
      </c>
      <c r="C41" s="261">
        <f>C40+(C40*5%)</f>
        <v>7350000</v>
      </c>
      <c r="D41" s="262">
        <v>1800000</v>
      </c>
      <c r="E41" s="262">
        <v>0</v>
      </c>
      <c r="F41" s="263">
        <f>C41*10.5%</f>
        <v>771750</v>
      </c>
      <c r="G41" s="263">
        <f>C41+D41+E41-F41</f>
        <v>8378250</v>
      </c>
      <c r="H41" s="264">
        <f t="shared" si="20"/>
        <v>0</v>
      </c>
      <c r="I41" s="265">
        <f t="shared" si="21"/>
        <v>0</v>
      </c>
      <c r="J41" s="266">
        <f>C41+D41+E41-F41-I41</f>
        <v>8378250</v>
      </c>
      <c r="K41" s="275"/>
      <c r="L41" s="275"/>
    </row>
    <row r="42" spans="1:12">
      <c r="A42" s="280">
        <f>((C42+D42)/(C40+D40))-1</f>
        <v>4.5454545454545414E-2</v>
      </c>
      <c r="B42" s="269" t="s">
        <v>274</v>
      </c>
      <c r="C42" s="272">
        <v>7400000</v>
      </c>
      <c r="D42" s="284">
        <v>1800000</v>
      </c>
      <c r="E42" s="262">
        <v>0</v>
      </c>
      <c r="F42" s="263">
        <f>C42*10.5%</f>
        <v>777000</v>
      </c>
      <c r="G42" s="263">
        <f>C42+D42+E42-F42</f>
        <v>8423000</v>
      </c>
      <c r="H42" s="264">
        <f t="shared" si="20"/>
        <v>0</v>
      </c>
      <c r="I42" s="265">
        <f t="shared" si="21"/>
        <v>0</v>
      </c>
      <c r="J42" s="268">
        <f>C42+D42+E42-F42-I42</f>
        <v>8423000</v>
      </c>
      <c r="K42" s="275">
        <f>J42-J40</f>
        <v>358000</v>
      </c>
      <c r="L42" s="275"/>
    </row>
    <row r="43" spans="1:12" ht="10.199999999999999" customHeight="1"/>
    <row r="44" spans="1:12" s="254" customFormat="1" ht="19.2">
      <c r="A44" s="278"/>
      <c r="B44" s="249" t="s">
        <v>235</v>
      </c>
      <c r="C44" s="250" t="s">
        <v>236</v>
      </c>
      <c r="D44" s="251" t="s">
        <v>237</v>
      </c>
      <c r="E44" s="251" t="s">
        <v>237</v>
      </c>
      <c r="F44" s="252" t="s">
        <v>238</v>
      </c>
      <c r="G44" s="249" t="s">
        <v>239</v>
      </c>
      <c r="H44" s="253" t="s">
        <v>240</v>
      </c>
      <c r="I44" s="252" t="s">
        <v>83</v>
      </c>
      <c r="J44" s="249" t="s">
        <v>241</v>
      </c>
      <c r="K44" s="282"/>
      <c r="L44" s="277"/>
    </row>
    <row r="45" spans="1:12">
      <c r="A45" s="278">
        <v>7</v>
      </c>
      <c r="B45" s="255" t="s">
        <v>275</v>
      </c>
      <c r="C45" s="256">
        <v>1</v>
      </c>
      <c r="D45" s="257">
        <v>2</v>
      </c>
      <c r="E45" s="257">
        <v>3</v>
      </c>
      <c r="F45" s="257">
        <v>4</v>
      </c>
      <c r="G45" s="257">
        <v>5</v>
      </c>
      <c r="H45" s="258">
        <v>6</v>
      </c>
      <c r="I45" s="258">
        <v>7</v>
      </c>
      <c r="J45" s="259" t="s">
        <v>242</v>
      </c>
      <c r="K45" s="283"/>
      <c r="L45" s="274"/>
    </row>
    <row r="46" spans="1:12">
      <c r="B46" s="260" t="s">
        <v>243</v>
      </c>
      <c r="C46" s="261">
        <v>7500000</v>
      </c>
      <c r="D46" s="262">
        <v>500000</v>
      </c>
      <c r="E46" s="262">
        <v>0</v>
      </c>
      <c r="F46" s="263">
        <f>C46*10.5%</f>
        <v>787500</v>
      </c>
      <c r="G46" s="263">
        <f>C46+D46+E46-F46</f>
        <v>7212500</v>
      </c>
      <c r="H46" s="264">
        <f t="shared" ref="H46:H48" si="22">IF((C46+D46+E46-F46-12600000)&lt;0,0,C46+D46+E46-F46-12600000)</f>
        <v>0</v>
      </c>
      <c r="I46" s="265">
        <f t="shared" ref="I46:I48" si="23">IF(AND(H46&lt;10000000,H46&gt;5000000),H46*10%-250000,IF(AND(H46&lt;18000000,H46&gt;10000000),H46*15%-750000,IF(AND(H46&lt;32000000,H46&gt;18000000),H46*20%-1650000,IF(AND(H46&lt;52000000,H46&gt;32000000),H46*25%-3250000,IF(AND(H46&lt;80000000,H46&gt;52000000),H46*30%-5850000,IF(H46&gt;80000000,H46*35%-9850000,H46*5%))))))</f>
        <v>0</v>
      </c>
      <c r="J46" s="266">
        <f>C46+D46+E46-F46-I46</f>
        <v>7212500</v>
      </c>
      <c r="K46" s="275"/>
      <c r="L46" s="275"/>
    </row>
    <row r="47" spans="1:12">
      <c r="B47" s="260" t="s">
        <v>276</v>
      </c>
      <c r="C47" s="261">
        <f>C46+(C46*5%)</f>
        <v>7875000</v>
      </c>
      <c r="D47" s="262">
        <v>0</v>
      </c>
      <c r="E47" s="262">
        <v>0</v>
      </c>
      <c r="F47" s="263">
        <f>C47*10.5%</f>
        <v>826875</v>
      </c>
      <c r="G47" s="263">
        <f>C47+D47+E47-F47</f>
        <v>7048125</v>
      </c>
      <c r="H47" s="264">
        <f t="shared" si="22"/>
        <v>0</v>
      </c>
      <c r="I47" s="265">
        <f t="shared" si="23"/>
        <v>0</v>
      </c>
      <c r="J47" s="266">
        <f>C47+D47+E47-F47-I47</f>
        <v>7048125</v>
      </c>
      <c r="K47" s="275"/>
      <c r="L47" s="275"/>
    </row>
    <row r="48" spans="1:12">
      <c r="A48" s="280">
        <f>((C48+D48)/(C46+D46))-1</f>
        <v>0</v>
      </c>
      <c r="B48" s="269" t="s">
        <v>272</v>
      </c>
      <c r="C48" s="272">
        <f>C46+(C46*0%)</f>
        <v>7500000</v>
      </c>
      <c r="D48" s="262">
        <v>500000</v>
      </c>
      <c r="E48" s="262">
        <v>0</v>
      </c>
      <c r="F48" s="263">
        <f>C48*10.5%</f>
        <v>787500</v>
      </c>
      <c r="G48" s="263">
        <f>C48+D48+E48-F48</f>
        <v>7212500</v>
      </c>
      <c r="H48" s="264">
        <f t="shared" si="22"/>
        <v>0</v>
      </c>
      <c r="I48" s="265">
        <f t="shared" si="23"/>
        <v>0</v>
      </c>
      <c r="J48" s="268">
        <f>C48+D48+E48-F48-I48</f>
        <v>7212500</v>
      </c>
      <c r="K48" s="275">
        <f>J48-J46</f>
        <v>0</v>
      </c>
      <c r="L48" s="275"/>
    </row>
    <row r="49" spans="1:12" ht="10.199999999999999" customHeight="1"/>
    <row r="50" spans="1:12" s="254" customFormat="1" ht="19.2">
      <c r="A50" s="278"/>
      <c r="B50" s="249" t="s">
        <v>235</v>
      </c>
      <c r="C50" s="250" t="s">
        <v>236</v>
      </c>
      <c r="D50" s="251" t="s">
        <v>237</v>
      </c>
      <c r="E50" s="251" t="s">
        <v>237</v>
      </c>
      <c r="F50" s="252" t="s">
        <v>238</v>
      </c>
      <c r="G50" s="249" t="s">
        <v>239</v>
      </c>
      <c r="H50" s="253" t="s">
        <v>240</v>
      </c>
      <c r="I50" s="252" t="s">
        <v>83</v>
      </c>
      <c r="J50" s="249" t="s">
        <v>241</v>
      </c>
      <c r="K50" s="282"/>
      <c r="L50" s="277"/>
    </row>
    <row r="51" spans="1:12">
      <c r="A51" s="278">
        <v>8</v>
      </c>
      <c r="B51" s="255" t="s">
        <v>260</v>
      </c>
      <c r="C51" s="256">
        <v>1</v>
      </c>
      <c r="D51" s="257">
        <v>2</v>
      </c>
      <c r="E51" s="257">
        <v>3</v>
      </c>
      <c r="F51" s="257">
        <v>4</v>
      </c>
      <c r="G51" s="257">
        <v>5</v>
      </c>
      <c r="H51" s="258">
        <v>6</v>
      </c>
      <c r="I51" s="258">
        <v>7</v>
      </c>
      <c r="J51" s="259" t="s">
        <v>242</v>
      </c>
      <c r="K51" s="283"/>
      <c r="L51" s="274"/>
    </row>
    <row r="52" spans="1:12">
      <c r="B52" s="260" t="s">
        <v>243</v>
      </c>
      <c r="C52" s="261">
        <v>7500000</v>
      </c>
      <c r="D52" s="262">
        <v>500000</v>
      </c>
      <c r="E52" s="262">
        <v>0</v>
      </c>
      <c r="F52" s="263">
        <f>C52*10.5%</f>
        <v>787500</v>
      </c>
      <c r="G52" s="263">
        <f>C52+D52+E52-F52</f>
        <v>7212500</v>
      </c>
      <c r="H52" s="264">
        <f t="shared" ref="H52:H54" si="24">IF((C52+D52+E52-F52-9000000)&lt;0,0,C52+D52+E52-F52-9000000)</f>
        <v>0</v>
      </c>
      <c r="I52" s="265">
        <f t="shared" ref="I52:I54" si="25">IF(AND(H52&lt;10000000,H52&gt;5000000),H52*10%-250000,IF(AND(H52&lt;18000000,H52&gt;10000000),H52*15%-750000,IF(AND(H52&lt;32000000,H52&gt;18000000),H52*20%-1650000,IF(AND(H52&lt;52000000,H52&gt;32000000),H52*25%-3250000,IF(AND(H52&lt;80000000,H52&gt;52000000),H52*30%-5850000,IF(H52&gt;80000000,H52*35%-9850000,H52*5%))))))</f>
        <v>0</v>
      </c>
      <c r="J52" s="266">
        <f>C52+D52+E52-F52-I52</f>
        <v>7212500</v>
      </c>
      <c r="K52" s="275"/>
      <c r="L52" s="275"/>
    </row>
    <row r="53" spans="1:12">
      <c r="B53" s="260" t="s">
        <v>276</v>
      </c>
      <c r="C53" s="261">
        <f>(C52+D52)+((C52+D52)*5%)</f>
        <v>8400000</v>
      </c>
      <c r="D53" s="262"/>
      <c r="E53" s="262">
        <v>0</v>
      </c>
      <c r="F53" s="263">
        <f>C53*10.5%</f>
        <v>882000</v>
      </c>
      <c r="G53" s="263">
        <f>C53+D53+E53-F53</f>
        <v>7518000</v>
      </c>
      <c r="H53" s="264">
        <f t="shared" si="24"/>
        <v>0</v>
      </c>
      <c r="I53" s="265">
        <f t="shared" si="25"/>
        <v>0</v>
      </c>
      <c r="J53" s="266">
        <f>C53+D53+E53-F53-I53</f>
        <v>7518000</v>
      </c>
      <c r="K53" s="275"/>
      <c r="L53" s="275"/>
    </row>
    <row r="54" spans="1:12">
      <c r="A54" s="280">
        <f>(C54/(C52+D52))-1</f>
        <v>0.17500000000000004</v>
      </c>
      <c r="B54" s="269" t="s">
        <v>261</v>
      </c>
      <c r="C54" s="272">
        <v>9400000</v>
      </c>
      <c r="D54" s="284"/>
      <c r="E54" s="262">
        <v>0</v>
      </c>
      <c r="F54" s="263">
        <f>C54*10.5%</f>
        <v>987000</v>
      </c>
      <c r="G54" s="263">
        <f>C54+D54+E54-F54</f>
        <v>8413000</v>
      </c>
      <c r="H54" s="264">
        <f t="shared" si="24"/>
        <v>0</v>
      </c>
      <c r="I54" s="265">
        <f t="shared" si="25"/>
        <v>0</v>
      </c>
      <c r="J54" s="268">
        <f>C54+D54+E54-F54-I54</f>
        <v>8413000</v>
      </c>
      <c r="K54" s="275">
        <f>J54-J52</f>
        <v>1200500</v>
      </c>
      <c r="L54" s="275"/>
    </row>
    <row r="55" spans="1:12" ht="10.199999999999999" customHeight="1"/>
    <row r="56" spans="1:12" s="254" customFormat="1" ht="19.2">
      <c r="A56" s="278"/>
      <c r="B56" s="249" t="s">
        <v>235</v>
      </c>
      <c r="C56" s="250" t="s">
        <v>236</v>
      </c>
      <c r="D56" s="251" t="s">
        <v>237</v>
      </c>
      <c r="E56" s="251" t="s">
        <v>237</v>
      </c>
      <c r="F56" s="252" t="s">
        <v>238</v>
      </c>
      <c r="G56" s="249" t="s">
        <v>239</v>
      </c>
      <c r="H56" s="253" t="s">
        <v>240</v>
      </c>
      <c r="I56" s="252" t="s">
        <v>83</v>
      </c>
      <c r="J56" s="249" t="s">
        <v>241</v>
      </c>
      <c r="K56" s="282"/>
      <c r="L56" s="277"/>
    </row>
    <row r="57" spans="1:12">
      <c r="A57" s="278">
        <v>9</v>
      </c>
      <c r="B57" s="255" t="s">
        <v>262</v>
      </c>
      <c r="C57" s="256">
        <v>1</v>
      </c>
      <c r="D57" s="257">
        <v>2</v>
      </c>
      <c r="E57" s="257">
        <v>3</v>
      </c>
      <c r="F57" s="257">
        <v>4</v>
      </c>
      <c r="G57" s="257">
        <v>5</v>
      </c>
      <c r="H57" s="258">
        <v>6</v>
      </c>
      <c r="I57" s="258">
        <v>7</v>
      </c>
      <c r="J57" s="259" t="s">
        <v>242</v>
      </c>
      <c r="K57" s="283"/>
      <c r="L57" s="274"/>
    </row>
    <row r="58" spans="1:12">
      <c r="B58" s="260" t="s">
        <v>243</v>
      </c>
      <c r="C58" s="261">
        <v>13000000</v>
      </c>
      <c r="D58" s="262">
        <v>0</v>
      </c>
      <c r="E58" s="262">
        <v>0</v>
      </c>
      <c r="F58" s="263">
        <f>C58*10.5%</f>
        <v>1365000</v>
      </c>
      <c r="G58" s="263">
        <f>C58+D58+E58-F58</f>
        <v>11635000</v>
      </c>
      <c r="H58" s="264">
        <f t="shared" ref="H58:H60" si="26">IF((C58+D58+E58-F58-12600000)&lt;0,0,C58+D58+E58-F58-12600000)</f>
        <v>0</v>
      </c>
      <c r="I58" s="265">
        <f t="shared" ref="I58:I60" si="27">IF(AND(H58&lt;10000000,H58&gt;5000000),H58*10%-250000,IF(AND(H58&lt;18000000,H58&gt;10000000),H58*15%-750000,IF(AND(H58&lt;32000000,H58&gt;18000000),H58*20%-1650000,IF(AND(H58&lt;52000000,H58&gt;32000000),H58*25%-3250000,IF(AND(H58&lt;80000000,H58&gt;52000000),H58*30%-5850000,IF(H58&gt;80000000,H58*35%-9850000,H58*5%))))))</f>
        <v>0</v>
      </c>
      <c r="J58" s="266">
        <f>C58+D58+E58-F58-I58</f>
        <v>11635000</v>
      </c>
      <c r="K58" s="275"/>
      <c r="L58" s="275"/>
    </row>
    <row r="59" spans="1:12">
      <c r="B59" s="260" t="s">
        <v>276</v>
      </c>
      <c r="C59" s="261">
        <f>C58+(C58*5%)</f>
        <v>13650000</v>
      </c>
      <c r="D59" s="262">
        <v>0</v>
      </c>
      <c r="E59" s="262">
        <v>0</v>
      </c>
      <c r="F59" s="263">
        <f>C59*10.5%</f>
        <v>1433250</v>
      </c>
      <c r="G59" s="263">
        <f>C59+D59+E59-F59</f>
        <v>12216750</v>
      </c>
      <c r="H59" s="264">
        <f t="shared" si="26"/>
        <v>0</v>
      </c>
      <c r="I59" s="265">
        <f t="shared" si="27"/>
        <v>0</v>
      </c>
      <c r="J59" s="266">
        <f>C59+D59+E59-F59-I59</f>
        <v>12216750</v>
      </c>
      <c r="K59" s="275"/>
      <c r="L59" s="275"/>
    </row>
    <row r="60" spans="1:12">
      <c r="A60" s="280">
        <f>(C60/(C58))-1</f>
        <v>0.11538461538461542</v>
      </c>
      <c r="B60" s="269" t="s">
        <v>246</v>
      </c>
      <c r="C60" s="272">
        <v>14500000</v>
      </c>
      <c r="D60" s="262">
        <v>0</v>
      </c>
      <c r="E60" s="262">
        <v>0</v>
      </c>
      <c r="F60" s="263">
        <f>C60*10.5%</f>
        <v>1522500</v>
      </c>
      <c r="G60" s="263">
        <f>C60+D60+E60-F60</f>
        <v>12977500</v>
      </c>
      <c r="H60" s="264">
        <f t="shared" si="26"/>
        <v>377500</v>
      </c>
      <c r="I60" s="265">
        <f t="shared" si="27"/>
        <v>18875</v>
      </c>
      <c r="J60" s="268">
        <f>C60+D60+E60-F60-I60</f>
        <v>12958625</v>
      </c>
      <c r="K60" s="275">
        <f>J60-J58</f>
        <v>1323625</v>
      </c>
      <c r="L60" s="275"/>
    </row>
    <row r="61" spans="1:12" ht="10.199999999999999" customHeight="1"/>
    <row r="62" spans="1:12" s="254" customFormat="1" ht="19.2">
      <c r="A62" s="278"/>
      <c r="B62" s="249" t="s">
        <v>235</v>
      </c>
      <c r="C62" s="250" t="s">
        <v>236</v>
      </c>
      <c r="D62" s="251" t="s">
        <v>237</v>
      </c>
      <c r="E62" s="251" t="s">
        <v>237</v>
      </c>
      <c r="F62" s="252" t="s">
        <v>238</v>
      </c>
      <c r="G62" s="249" t="s">
        <v>239</v>
      </c>
      <c r="H62" s="253" t="s">
        <v>240</v>
      </c>
      <c r="I62" s="252" t="s">
        <v>83</v>
      </c>
      <c r="J62" s="249" t="s">
        <v>241</v>
      </c>
      <c r="K62" s="282"/>
      <c r="L62" s="277"/>
    </row>
    <row r="63" spans="1:12">
      <c r="A63" s="278">
        <v>10</v>
      </c>
      <c r="B63" s="255" t="s">
        <v>263</v>
      </c>
      <c r="C63" s="256">
        <v>1</v>
      </c>
      <c r="D63" s="257">
        <v>2</v>
      </c>
      <c r="E63" s="257">
        <v>3</v>
      </c>
      <c r="F63" s="257">
        <v>4</v>
      </c>
      <c r="G63" s="257">
        <v>5</v>
      </c>
      <c r="H63" s="258">
        <v>6</v>
      </c>
      <c r="I63" s="258">
        <v>7</v>
      </c>
      <c r="J63" s="259" t="s">
        <v>242</v>
      </c>
      <c r="K63" s="283"/>
      <c r="L63" s="274"/>
    </row>
    <row r="64" spans="1:12">
      <c r="B64" s="260" t="s">
        <v>243</v>
      </c>
      <c r="C64" s="261">
        <v>16000000</v>
      </c>
      <c r="D64" s="262">
        <v>500000</v>
      </c>
      <c r="E64" s="262">
        <v>0</v>
      </c>
      <c r="F64" s="263">
        <f>C64*10.5%</f>
        <v>1680000</v>
      </c>
      <c r="G64" s="263">
        <f>C64+D64+E64-F64</f>
        <v>14820000</v>
      </c>
      <c r="H64" s="264">
        <f t="shared" ref="H64:H66" si="28">IF((C64+D64+E64-F64-12600000)&lt;0,0,C64+D64+E64-F64-12600000)</f>
        <v>2220000</v>
      </c>
      <c r="I64" s="265">
        <f t="shared" ref="I64:I66" si="29">IF(AND(H64&lt;10000000,H64&gt;5000000),H64*10%-250000,IF(AND(H64&lt;18000000,H64&gt;10000000),H64*15%-750000,IF(AND(H64&lt;32000000,H64&gt;18000000),H64*20%-1650000,IF(AND(H64&lt;52000000,H64&gt;32000000),H64*25%-3250000,IF(AND(H64&lt;80000000,H64&gt;52000000),H64*30%-5850000,IF(H64&gt;80000000,H64*35%-9850000,H64*5%))))))</f>
        <v>111000</v>
      </c>
      <c r="J64" s="266">
        <f>C64+D64+E64-F64-I64</f>
        <v>14709000</v>
      </c>
      <c r="K64" s="275"/>
      <c r="L64" s="275"/>
    </row>
    <row r="65" spans="1:12">
      <c r="B65" s="260" t="s">
        <v>276</v>
      </c>
      <c r="C65" s="261">
        <f>C64+(C64*5%)</f>
        <v>16800000</v>
      </c>
      <c r="D65" s="262">
        <v>500000</v>
      </c>
      <c r="E65" s="262">
        <v>0</v>
      </c>
      <c r="F65" s="263">
        <f>C65*10.5%</f>
        <v>1764000</v>
      </c>
      <c r="G65" s="263">
        <f>C65+D65+E65-F65</f>
        <v>15536000</v>
      </c>
      <c r="H65" s="264">
        <f t="shared" si="28"/>
        <v>2936000</v>
      </c>
      <c r="I65" s="265">
        <f t="shared" si="29"/>
        <v>146800</v>
      </c>
      <c r="J65" s="266">
        <f>C65+D65+E65-F65-I65</f>
        <v>15389200</v>
      </c>
      <c r="K65" s="275"/>
      <c r="L65" s="275"/>
    </row>
    <row r="66" spans="1:12">
      <c r="A66" s="280">
        <f>(C66/(C64))-1</f>
        <v>0</v>
      </c>
      <c r="B66" s="269" t="s">
        <v>278</v>
      </c>
      <c r="C66" s="272">
        <v>16000000</v>
      </c>
      <c r="D66" s="284">
        <v>500000</v>
      </c>
      <c r="E66" s="262">
        <v>0</v>
      </c>
      <c r="F66" s="263">
        <f>C66*10.5%</f>
        <v>1680000</v>
      </c>
      <c r="G66" s="263">
        <f>C66+D66+E66-F66</f>
        <v>14820000</v>
      </c>
      <c r="H66" s="264">
        <f t="shared" si="28"/>
        <v>2220000</v>
      </c>
      <c r="I66" s="265">
        <f t="shared" si="29"/>
        <v>111000</v>
      </c>
      <c r="J66" s="268">
        <f>C66+D66+E66-F66-I66</f>
        <v>14709000</v>
      </c>
      <c r="K66" s="275">
        <f>J66-J64</f>
        <v>0</v>
      </c>
      <c r="L66" s="275"/>
    </row>
    <row r="67" spans="1:12" ht="10.199999999999999" customHeight="1"/>
    <row r="68" spans="1:12" s="254" customFormat="1" ht="19.2">
      <c r="A68" s="278"/>
      <c r="B68" s="249" t="s">
        <v>235</v>
      </c>
      <c r="C68" s="250" t="s">
        <v>236</v>
      </c>
      <c r="D68" s="251" t="s">
        <v>237</v>
      </c>
      <c r="E68" s="251" t="s">
        <v>237</v>
      </c>
      <c r="F68" s="252" t="s">
        <v>238</v>
      </c>
      <c r="G68" s="249" t="s">
        <v>239</v>
      </c>
      <c r="H68" s="253" t="s">
        <v>240</v>
      </c>
      <c r="I68" s="252" t="s">
        <v>83</v>
      </c>
      <c r="J68" s="249" t="s">
        <v>241</v>
      </c>
      <c r="K68" s="282"/>
      <c r="L68" s="277"/>
    </row>
    <row r="69" spans="1:12">
      <c r="A69" s="278">
        <v>12</v>
      </c>
      <c r="B69" s="255" t="s">
        <v>264</v>
      </c>
      <c r="C69" s="256">
        <v>1</v>
      </c>
      <c r="D69" s="257">
        <v>2</v>
      </c>
      <c r="E69" s="257">
        <v>3</v>
      </c>
      <c r="F69" s="257">
        <v>4</v>
      </c>
      <c r="G69" s="257">
        <v>5</v>
      </c>
      <c r="H69" s="258">
        <v>6</v>
      </c>
      <c r="I69" s="258">
        <v>7</v>
      </c>
      <c r="J69" s="259" t="s">
        <v>242</v>
      </c>
      <c r="K69" s="283"/>
      <c r="L69" s="274"/>
    </row>
    <row r="70" spans="1:12">
      <c r="B70" s="260" t="s">
        <v>243</v>
      </c>
      <c r="C70" s="261">
        <v>7720000</v>
      </c>
      <c r="D70" s="262">
        <v>500000</v>
      </c>
      <c r="E70" s="262">
        <v>0</v>
      </c>
      <c r="F70" s="263">
        <f>C70*10.5%</f>
        <v>810600</v>
      </c>
      <c r="G70" s="263">
        <f>C70+D70+E70-F70</f>
        <v>7409400</v>
      </c>
      <c r="H70" s="264">
        <f t="shared" ref="H70:H72" si="30">IF((C70+D70+E70-F70-12600000)&lt;0,0,C70+D70+E70-F70-12600000)</f>
        <v>0</v>
      </c>
      <c r="I70" s="265">
        <f t="shared" ref="I70:I72" si="31">IF(AND(H70&lt;10000000,H70&gt;5000000),H70*10%-250000,IF(AND(H70&lt;18000000,H70&gt;10000000),H70*15%-750000,IF(AND(H70&lt;32000000,H70&gt;18000000),H70*20%-1650000,IF(AND(H70&lt;52000000,H70&gt;32000000),H70*25%-3250000,IF(AND(H70&lt;80000000,H70&gt;52000000),H70*30%-5850000,IF(H70&gt;80000000,H70*35%-9850000,H70*5%))))))</f>
        <v>0</v>
      </c>
      <c r="J70" s="266">
        <f>C70+D70+E70-F70-I70</f>
        <v>7409400</v>
      </c>
      <c r="K70" s="275"/>
      <c r="L70" s="275"/>
    </row>
    <row r="71" spans="1:12">
      <c r="B71" s="260" t="s">
        <v>276</v>
      </c>
      <c r="C71" s="261">
        <f>C70+(C70*5%)</f>
        <v>8106000</v>
      </c>
      <c r="D71" s="262">
        <v>500000</v>
      </c>
      <c r="E71" s="262">
        <v>0</v>
      </c>
      <c r="F71" s="263">
        <f>C71*10.5%</f>
        <v>851130</v>
      </c>
      <c r="G71" s="263">
        <f>C71+D71+E71-F71</f>
        <v>7754870</v>
      </c>
      <c r="H71" s="264">
        <f t="shared" si="30"/>
        <v>0</v>
      </c>
      <c r="I71" s="265">
        <f t="shared" si="31"/>
        <v>0</v>
      </c>
      <c r="J71" s="266">
        <f>C71+D71+E71-F71-I71</f>
        <v>7754870</v>
      </c>
      <c r="K71" s="275"/>
      <c r="L71" s="275"/>
    </row>
    <row r="72" spans="1:12">
      <c r="A72" s="280">
        <f>(C72/(C70))-1</f>
        <v>0.15932642487046622</v>
      </c>
      <c r="B72" s="260" t="s">
        <v>247</v>
      </c>
      <c r="C72" s="272">
        <v>8950000</v>
      </c>
      <c r="D72" s="262">
        <v>500000</v>
      </c>
      <c r="E72" s="262">
        <v>0</v>
      </c>
      <c r="F72" s="263">
        <f>C72*10.5%</f>
        <v>939750</v>
      </c>
      <c r="G72" s="263">
        <f>C72+D72+E72-F72</f>
        <v>8510250</v>
      </c>
      <c r="H72" s="264">
        <f t="shared" si="30"/>
        <v>0</v>
      </c>
      <c r="I72" s="265">
        <f t="shared" si="31"/>
        <v>0</v>
      </c>
      <c r="J72" s="268">
        <f>C72+D72+E72-F72-I72</f>
        <v>8510250</v>
      </c>
      <c r="K72" s="275">
        <f>J72-J70</f>
        <v>1100850</v>
      </c>
      <c r="L72" s="275"/>
    </row>
    <row r="73" spans="1:12" ht="10.199999999999999" customHeight="1"/>
    <row r="74" spans="1:12" s="254" customFormat="1" ht="19.2">
      <c r="A74" s="278"/>
      <c r="B74" s="249" t="s">
        <v>235</v>
      </c>
      <c r="C74" s="250" t="s">
        <v>236</v>
      </c>
      <c r="D74" s="251" t="s">
        <v>237</v>
      </c>
      <c r="E74" s="251" t="s">
        <v>237</v>
      </c>
      <c r="F74" s="252" t="s">
        <v>238</v>
      </c>
      <c r="G74" s="249" t="s">
        <v>239</v>
      </c>
      <c r="H74" s="253" t="s">
        <v>240</v>
      </c>
      <c r="I74" s="252" t="s">
        <v>83</v>
      </c>
      <c r="J74" s="249" t="s">
        <v>241</v>
      </c>
      <c r="K74" s="282"/>
      <c r="L74" s="277"/>
    </row>
    <row r="75" spans="1:12">
      <c r="A75" s="278">
        <v>13</v>
      </c>
      <c r="B75" s="255" t="s">
        <v>265</v>
      </c>
      <c r="C75" s="256">
        <v>1</v>
      </c>
      <c r="D75" s="257">
        <v>2</v>
      </c>
      <c r="E75" s="257">
        <v>3</v>
      </c>
      <c r="F75" s="257">
        <v>4</v>
      </c>
      <c r="G75" s="257">
        <v>5</v>
      </c>
      <c r="H75" s="258">
        <v>6</v>
      </c>
      <c r="I75" s="258">
        <v>7</v>
      </c>
      <c r="J75" s="259" t="s">
        <v>242</v>
      </c>
      <c r="K75" s="283"/>
      <c r="L75" s="274"/>
    </row>
    <row r="76" spans="1:12">
      <c r="B76" s="260" t="s">
        <v>243</v>
      </c>
      <c r="C76" s="261">
        <v>7720000</v>
      </c>
      <c r="D76" s="262">
        <v>500000</v>
      </c>
      <c r="E76" s="262">
        <v>0</v>
      </c>
      <c r="F76" s="263">
        <f>C76*10.5%</f>
        <v>810600</v>
      </c>
      <c r="G76" s="263">
        <f>C76+D76+E76-F76</f>
        <v>7409400</v>
      </c>
      <c r="H76" s="264">
        <f t="shared" ref="H76:H78" si="32">IF((C76+D76+E76-F76-9000000)&lt;0,0,C76+D76+E76-F76-9000000)</f>
        <v>0</v>
      </c>
      <c r="I76" s="265">
        <f t="shared" ref="I76:I78" si="33">IF(AND(H76&lt;10000000,H76&gt;5000000),H76*10%-250000,IF(AND(H76&lt;18000000,H76&gt;10000000),H76*15%-750000,IF(AND(H76&lt;32000000,H76&gt;18000000),H76*20%-1650000,IF(AND(H76&lt;52000000,H76&gt;32000000),H76*25%-3250000,IF(AND(H76&lt;80000000,H76&gt;52000000),H76*30%-5850000,IF(H76&gt;80000000,H76*35%-9850000,H76*5%))))))</f>
        <v>0</v>
      </c>
      <c r="J76" s="266">
        <f>C76+D76+E76-F76-I76</f>
        <v>7409400</v>
      </c>
      <c r="K76" s="275"/>
      <c r="L76" s="275"/>
    </row>
    <row r="77" spans="1:12">
      <c r="B77" s="260" t="s">
        <v>276</v>
      </c>
      <c r="C77" s="261">
        <f>C76+(C76*5%)</f>
        <v>8106000</v>
      </c>
      <c r="D77" s="262">
        <v>500000</v>
      </c>
      <c r="E77" s="262">
        <v>0</v>
      </c>
      <c r="F77" s="263">
        <f>C77*10.5%</f>
        <v>851130</v>
      </c>
      <c r="G77" s="263">
        <f>C77+D77+E77-F77</f>
        <v>7754870</v>
      </c>
      <c r="H77" s="264">
        <f t="shared" si="32"/>
        <v>0</v>
      </c>
      <c r="I77" s="265">
        <f t="shared" si="33"/>
        <v>0</v>
      </c>
      <c r="J77" s="266">
        <f>C77+D77+E77-F77-I77</f>
        <v>7754870</v>
      </c>
      <c r="K77" s="275"/>
      <c r="L77" s="275"/>
    </row>
    <row r="78" spans="1:12">
      <c r="A78" s="280">
        <f>(C78/(C76))-1</f>
        <v>7.5129533678756522E-2</v>
      </c>
      <c r="B78" s="260" t="s">
        <v>252</v>
      </c>
      <c r="C78" s="272">
        <v>8300000</v>
      </c>
      <c r="D78" s="262">
        <v>500000</v>
      </c>
      <c r="E78" s="262">
        <v>0</v>
      </c>
      <c r="F78" s="263">
        <f>C78*10.5%</f>
        <v>871500</v>
      </c>
      <c r="G78" s="263">
        <f>C78+D78+E78-F78</f>
        <v>7928500</v>
      </c>
      <c r="H78" s="264">
        <f t="shared" si="32"/>
        <v>0</v>
      </c>
      <c r="I78" s="265">
        <f t="shared" si="33"/>
        <v>0</v>
      </c>
      <c r="J78" s="268">
        <f>C78+D78+E78-F78-I78</f>
        <v>7928500</v>
      </c>
      <c r="K78" s="275">
        <f>J78-J76</f>
        <v>519100</v>
      </c>
      <c r="L78" s="275"/>
    </row>
    <row r="79" spans="1:12" ht="10.199999999999999" customHeight="1"/>
    <row r="80" spans="1:12" s="254" customFormat="1" ht="19.2">
      <c r="A80" s="278"/>
      <c r="B80" s="249" t="s">
        <v>235</v>
      </c>
      <c r="C80" s="250" t="s">
        <v>236</v>
      </c>
      <c r="D80" s="251" t="s">
        <v>237</v>
      </c>
      <c r="E80" s="251" t="s">
        <v>237</v>
      </c>
      <c r="F80" s="252" t="s">
        <v>238</v>
      </c>
      <c r="G80" s="249" t="s">
        <v>239</v>
      </c>
      <c r="H80" s="253" t="s">
        <v>240</v>
      </c>
      <c r="I80" s="252" t="s">
        <v>83</v>
      </c>
      <c r="J80" s="249" t="s">
        <v>241</v>
      </c>
      <c r="K80" s="282"/>
      <c r="L80" s="277"/>
    </row>
    <row r="81" spans="1:12">
      <c r="A81" s="278">
        <v>14</v>
      </c>
      <c r="B81" s="255" t="s">
        <v>266</v>
      </c>
      <c r="C81" s="256">
        <v>1</v>
      </c>
      <c r="D81" s="257">
        <v>2</v>
      </c>
      <c r="E81" s="257">
        <v>3</v>
      </c>
      <c r="F81" s="257">
        <v>4</v>
      </c>
      <c r="G81" s="257">
        <v>5</v>
      </c>
      <c r="H81" s="258">
        <v>6</v>
      </c>
      <c r="I81" s="258">
        <v>7</v>
      </c>
      <c r="J81" s="259" t="s">
        <v>242</v>
      </c>
      <c r="K81" s="283"/>
      <c r="L81" s="274"/>
    </row>
    <row r="82" spans="1:12">
      <c r="B82" s="260" t="s">
        <v>243</v>
      </c>
      <c r="C82" s="261">
        <v>12200000</v>
      </c>
      <c r="D82" s="262">
        <v>500000</v>
      </c>
      <c r="E82" s="262">
        <v>0</v>
      </c>
      <c r="F82" s="263">
        <f>C82*10.5%</f>
        <v>1281000</v>
      </c>
      <c r="G82" s="263">
        <f>C82+D82+E82-F82</f>
        <v>11419000</v>
      </c>
      <c r="H82" s="264">
        <f t="shared" ref="H82:H84" si="34">IF((C82+D82+E82-F82-9000000)&lt;0,0,C82+D82+E82-F82-9000000)</f>
        <v>2419000</v>
      </c>
      <c r="I82" s="265">
        <f t="shared" ref="I82:I84" si="35">IF(AND(H82&lt;10000000,H82&gt;5000000),H82*10%-250000,IF(AND(H82&lt;18000000,H82&gt;10000000),H82*15%-750000,IF(AND(H82&lt;32000000,H82&gt;18000000),H82*20%-1650000,IF(AND(H82&lt;52000000,H82&gt;32000000),H82*25%-3250000,IF(AND(H82&lt;80000000,H82&gt;52000000),H82*30%-5850000,IF(H82&gt;80000000,H82*35%-9850000,H82*5%))))))</f>
        <v>120950</v>
      </c>
      <c r="J82" s="266">
        <f>C82+D82+E82-F82-I82</f>
        <v>11298050</v>
      </c>
      <c r="K82" s="275"/>
      <c r="L82" s="275"/>
    </row>
    <row r="83" spans="1:12">
      <c r="B83" s="260" t="s">
        <v>276</v>
      </c>
      <c r="C83" s="261">
        <f>C82+(C82*5%)</f>
        <v>12810000</v>
      </c>
      <c r="D83" s="262">
        <v>0</v>
      </c>
      <c r="E83" s="262">
        <v>0</v>
      </c>
      <c r="F83" s="263">
        <f>C83*10.5%</f>
        <v>1345050</v>
      </c>
      <c r="G83" s="263">
        <f>C83+D83+E83-F83</f>
        <v>11464950</v>
      </c>
      <c r="H83" s="264">
        <f t="shared" si="34"/>
        <v>2464950</v>
      </c>
      <c r="I83" s="265">
        <f t="shared" si="35"/>
        <v>123247.5</v>
      </c>
      <c r="J83" s="266">
        <f>C83+D83+E83-F83-I83</f>
        <v>11341702.5</v>
      </c>
      <c r="K83" s="275"/>
      <c r="L83" s="275"/>
    </row>
    <row r="84" spans="1:12">
      <c r="A84" s="280">
        <f>(C84/(C82))-1</f>
        <v>0.15163934426229497</v>
      </c>
      <c r="B84" s="260" t="s">
        <v>247</v>
      </c>
      <c r="C84" s="272">
        <v>14050000</v>
      </c>
      <c r="D84" s="262"/>
      <c r="E84" s="262">
        <v>0</v>
      </c>
      <c r="F84" s="263">
        <f>C84*10.5%</f>
        <v>1475250</v>
      </c>
      <c r="G84" s="263">
        <f>C84+D84+E84-F84</f>
        <v>12574750</v>
      </c>
      <c r="H84" s="264">
        <f t="shared" si="34"/>
        <v>3574750</v>
      </c>
      <c r="I84" s="265">
        <f t="shared" si="35"/>
        <v>178737.5</v>
      </c>
      <c r="J84" s="268">
        <f>C84+D84+E84-F84-I84</f>
        <v>12396012.5</v>
      </c>
      <c r="K84" s="275">
        <f>J84-J82</f>
        <v>1097962.5</v>
      </c>
      <c r="L84" s="275"/>
    </row>
    <row r="85" spans="1:12" ht="10.199999999999999" customHeight="1"/>
    <row r="86" spans="1:12" s="254" customFormat="1" ht="19.2">
      <c r="A86" s="278"/>
      <c r="B86" s="249" t="s">
        <v>235</v>
      </c>
      <c r="C86" s="250" t="s">
        <v>236</v>
      </c>
      <c r="D86" s="251" t="s">
        <v>237</v>
      </c>
      <c r="E86" s="251" t="s">
        <v>237</v>
      </c>
      <c r="F86" s="252" t="s">
        <v>238</v>
      </c>
      <c r="G86" s="249" t="s">
        <v>239</v>
      </c>
      <c r="H86" s="253" t="s">
        <v>240</v>
      </c>
      <c r="I86" s="252" t="s">
        <v>83</v>
      </c>
      <c r="J86" s="249" t="s">
        <v>241</v>
      </c>
      <c r="K86" s="282"/>
      <c r="L86" s="277"/>
    </row>
    <row r="87" spans="1:12">
      <c r="A87" s="278">
        <v>15</v>
      </c>
      <c r="B87" s="255" t="s">
        <v>267</v>
      </c>
      <c r="C87" s="256">
        <v>1</v>
      </c>
      <c r="D87" s="257">
        <v>2</v>
      </c>
      <c r="E87" s="257">
        <v>3</v>
      </c>
      <c r="F87" s="257">
        <v>4</v>
      </c>
      <c r="G87" s="257">
        <v>5</v>
      </c>
      <c r="H87" s="258">
        <v>6</v>
      </c>
      <c r="I87" s="258">
        <v>7</v>
      </c>
      <c r="J87" s="259" t="s">
        <v>242</v>
      </c>
      <c r="K87" s="283"/>
      <c r="L87" s="274"/>
    </row>
    <row r="88" spans="1:12">
      <c r="B88" s="260" t="s">
        <v>243</v>
      </c>
      <c r="C88" s="261">
        <v>12000000</v>
      </c>
      <c r="D88" s="262">
        <v>0</v>
      </c>
      <c r="E88" s="262">
        <v>0</v>
      </c>
      <c r="F88" s="263">
        <f>C88*10.5%</f>
        <v>1260000</v>
      </c>
      <c r="G88" s="263">
        <f>C88+D88+E88-F88</f>
        <v>10740000</v>
      </c>
      <c r="H88" s="264">
        <f t="shared" ref="H88:H90" si="36">IF((C88+D88+E88-F88-9000000)&lt;0,0,C88+D88+E88-F88-9000000)</f>
        <v>1740000</v>
      </c>
      <c r="I88" s="265">
        <f t="shared" ref="I88:I90" si="37">IF(AND(H88&lt;10000000,H88&gt;5000000),H88*10%-250000,IF(AND(H88&lt;18000000,H88&gt;10000000),H88*15%-750000,IF(AND(H88&lt;32000000,H88&gt;18000000),H88*20%-1650000,IF(AND(H88&lt;52000000,H88&gt;32000000),H88*25%-3250000,IF(AND(H88&lt;80000000,H88&gt;52000000),H88*30%-5850000,IF(H88&gt;80000000,H88*35%-9850000,H88*5%))))))</f>
        <v>87000</v>
      </c>
      <c r="J88" s="266">
        <f>C88+D88+E88-F88-I88</f>
        <v>10653000</v>
      </c>
      <c r="K88" s="275"/>
      <c r="L88" s="275"/>
    </row>
    <row r="89" spans="1:12">
      <c r="B89" s="260" t="s">
        <v>276</v>
      </c>
      <c r="C89" s="261">
        <f>C88+(C88*5%)</f>
        <v>12600000</v>
      </c>
      <c r="D89" s="262">
        <v>0</v>
      </c>
      <c r="E89" s="262">
        <v>0</v>
      </c>
      <c r="F89" s="263">
        <f>C89*10.5%</f>
        <v>1323000</v>
      </c>
      <c r="G89" s="263">
        <f>C89+D89+E89-F89</f>
        <v>11277000</v>
      </c>
      <c r="H89" s="264">
        <f t="shared" si="36"/>
        <v>2277000</v>
      </c>
      <c r="I89" s="265">
        <f t="shared" si="37"/>
        <v>113850</v>
      </c>
      <c r="J89" s="266">
        <f>C89+D89+E89-F89-I89</f>
        <v>11163150</v>
      </c>
      <c r="K89" s="275"/>
      <c r="L89" s="275"/>
    </row>
    <row r="90" spans="1:12">
      <c r="A90" s="280">
        <f>(C90/(C88))-1</f>
        <v>0.125</v>
      </c>
      <c r="B90" s="260" t="s">
        <v>246</v>
      </c>
      <c r="C90" s="272">
        <v>13500000</v>
      </c>
      <c r="D90" s="262"/>
      <c r="E90" s="262">
        <v>0</v>
      </c>
      <c r="F90" s="263">
        <f>C90*10.5%</f>
        <v>1417500</v>
      </c>
      <c r="G90" s="263">
        <f>C90+D90+E90-F90</f>
        <v>12082500</v>
      </c>
      <c r="H90" s="264">
        <f t="shared" si="36"/>
        <v>3082500</v>
      </c>
      <c r="I90" s="265">
        <f t="shared" si="37"/>
        <v>154125</v>
      </c>
      <c r="J90" s="268">
        <f>C90+D90+E90-F90-I90</f>
        <v>11928375</v>
      </c>
      <c r="K90" s="275">
        <f>J90-J88</f>
        <v>1275375</v>
      </c>
      <c r="L90" s="275"/>
    </row>
    <row r="91" spans="1:12" ht="10.199999999999999" customHeight="1"/>
    <row r="92" spans="1:12" s="254" customFormat="1" ht="19.2">
      <c r="A92" s="278"/>
      <c r="B92" s="249" t="s">
        <v>235</v>
      </c>
      <c r="C92" s="250" t="s">
        <v>236</v>
      </c>
      <c r="D92" s="251" t="s">
        <v>237</v>
      </c>
      <c r="E92" s="251" t="s">
        <v>237</v>
      </c>
      <c r="F92" s="252" t="s">
        <v>238</v>
      </c>
      <c r="G92" s="249" t="s">
        <v>239</v>
      </c>
      <c r="H92" s="253" t="s">
        <v>240</v>
      </c>
      <c r="I92" s="252" t="s">
        <v>83</v>
      </c>
      <c r="J92" s="249" t="s">
        <v>241</v>
      </c>
      <c r="K92" s="282"/>
      <c r="L92" s="277"/>
    </row>
    <row r="93" spans="1:12">
      <c r="A93" s="278">
        <v>16</v>
      </c>
      <c r="B93" s="255" t="s">
        <v>268</v>
      </c>
      <c r="C93" s="256">
        <v>1</v>
      </c>
      <c r="D93" s="257">
        <v>2</v>
      </c>
      <c r="E93" s="257">
        <v>3</v>
      </c>
      <c r="F93" s="257">
        <v>4</v>
      </c>
      <c r="G93" s="257">
        <v>5</v>
      </c>
      <c r="H93" s="258">
        <v>6</v>
      </c>
      <c r="I93" s="258">
        <v>7</v>
      </c>
      <c r="J93" s="259" t="s">
        <v>242</v>
      </c>
      <c r="K93" s="283"/>
      <c r="L93" s="274"/>
    </row>
    <row r="94" spans="1:12">
      <c r="B94" s="260" t="s">
        <v>243</v>
      </c>
      <c r="C94" s="261">
        <v>6000000</v>
      </c>
      <c r="D94" s="262">
        <v>500000</v>
      </c>
      <c r="E94" s="262">
        <v>0</v>
      </c>
      <c r="F94" s="263">
        <f>C94*10.5%</f>
        <v>630000</v>
      </c>
      <c r="G94" s="263">
        <f>C94+D94+E94-F94</f>
        <v>5870000</v>
      </c>
      <c r="H94" s="264">
        <f t="shared" ref="H94:H96" si="38">IF((C94+D94+E94-F94-9000000)&lt;0,0,C94+D94+E94-F94-9000000)</f>
        <v>0</v>
      </c>
      <c r="I94" s="265">
        <f t="shared" ref="I94:I96" si="39">IF(AND(H94&lt;10000000,H94&gt;5000000),H94*10%-250000,IF(AND(H94&lt;18000000,H94&gt;10000000),H94*15%-750000,IF(AND(H94&lt;32000000,H94&gt;18000000),H94*20%-1650000,IF(AND(H94&lt;52000000,H94&gt;32000000),H94*25%-3250000,IF(AND(H94&lt;80000000,H94&gt;52000000),H94*30%-5850000,IF(H94&gt;80000000,H94*35%-9850000,H94*5%))))))</f>
        <v>0</v>
      </c>
      <c r="J94" s="266">
        <f>C94+D94+E94-F94-I94</f>
        <v>5870000</v>
      </c>
      <c r="K94" s="275"/>
      <c r="L94" s="275"/>
    </row>
    <row r="95" spans="1:12">
      <c r="B95" s="260" t="s">
        <v>276</v>
      </c>
      <c r="C95" s="261">
        <f>C94+(C94*5%)</f>
        <v>6300000</v>
      </c>
      <c r="D95" s="262">
        <v>500000</v>
      </c>
      <c r="E95" s="262">
        <v>0</v>
      </c>
      <c r="F95" s="263">
        <f>C95*10.5%</f>
        <v>661500</v>
      </c>
      <c r="G95" s="263">
        <f>C95+D95+E95-F95</f>
        <v>6138500</v>
      </c>
      <c r="H95" s="264">
        <f t="shared" si="38"/>
        <v>0</v>
      </c>
      <c r="I95" s="265">
        <f t="shared" si="39"/>
        <v>0</v>
      </c>
      <c r="J95" s="266">
        <f>C95+D95+E95-F95-I95</f>
        <v>6138500</v>
      </c>
      <c r="K95" s="275"/>
      <c r="L95" s="275"/>
    </row>
    <row r="96" spans="1:12">
      <c r="A96" s="280">
        <f>(C96/(C94))-1</f>
        <v>0.16666666666666674</v>
      </c>
      <c r="B96" s="260" t="s">
        <v>246</v>
      </c>
      <c r="C96" s="272">
        <v>7000000</v>
      </c>
      <c r="D96" s="262">
        <v>500000</v>
      </c>
      <c r="E96" s="262">
        <v>0</v>
      </c>
      <c r="F96" s="263">
        <f>C96*10.5%</f>
        <v>735000</v>
      </c>
      <c r="G96" s="263">
        <f>C96+D96+E96-F96</f>
        <v>6765000</v>
      </c>
      <c r="H96" s="264">
        <f t="shared" si="38"/>
        <v>0</v>
      </c>
      <c r="I96" s="265">
        <f t="shared" si="39"/>
        <v>0</v>
      </c>
      <c r="J96" s="268">
        <f>C96+D96+E96-F96-I96</f>
        <v>6765000</v>
      </c>
      <c r="K96" s="275">
        <f>J96-J94</f>
        <v>895000</v>
      </c>
      <c r="L96" s="275"/>
    </row>
    <row r="97" spans="1:12" ht="10.199999999999999" customHeight="1"/>
    <row r="98" spans="1:12" s="254" customFormat="1" ht="19.2">
      <c r="A98" s="278"/>
      <c r="B98" s="249" t="s">
        <v>235</v>
      </c>
      <c r="C98" s="250" t="s">
        <v>236</v>
      </c>
      <c r="D98" s="251" t="s">
        <v>237</v>
      </c>
      <c r="E98" s="251" t="s">
        <v>237</v>
      </c>
      <c r="F98" s="252" t="s">
        <v>238</v>
      </c>
      <c r="G98" s="249" t="s">
        <v>239</v>
      </c>
      <c r="H98" s="253" t="s">
        <v>240</v>
      </c>
      <c r="I98" s="252" t="s">
        <v>83</v>
      </c>
      <c r="J98" s="249" t="s">
        <v>241</v>
      </c>
      <c r="K98" s="282"/>
      <c r="L98" s="277"/>
    </row>
    <row r="99" spans="1:12">
      <c r="A99" s="278">
        <v>17</v>
      </c>
      <c r="B99" s="255" t="s">
        <v>269</v>
      </c>
      <c r="C99" s="256">
        <v>1</v>
      </c>
      <c r="D99" s="257">
        <v>2</v>
      </c>
      <c r="E99" s="257">
        <v>3</v>
      </c>
      <c r="F99" s="257">
        <v>4</v>
      </c>
      <c r="G99" s="257">
        <v>5</v>
      </c>
      <c r="H99" s="258">
        <v>6</v>
      </c>
      <c r="I99" s="258">
        <v>7</v>
      </c>
      <c r="J99" s="259" t="s">
        <v>242</v>
      </c>
      <c r="K99" s="283"/>
      <c r="L99" s="274"/>
    </row>
    <row r="100" spans="1:12">
      <c r="B100" s="260" t="s">
        <v>243</v>
      </c>
      <c r="C100" s="261">
        <v>27562500</v>
      </c>
      <c r="D100" s="262"/>
      <c r="E100" s="262">
        <v>0</v>
      </c>
      <c r="F100" s="263">
        <f>C100*10.5%</f>
        <v>2894062.5</v>
      </c>
      <c r="G100" s="263">
        <f>C100+D100+E100-F100</f>
        <v>24668437.5</v>
      </c>
      <c r="H100" s="264">
        <f>IF((C100+D100+E100-F100-16200000)&lt;0,0,C100+D100+E100-F100-16200000)</f>
        <v>8468437.5</v>
      </c>
      <c r="I100" s="265">
        <f t="shared" ref="I100:I102" si="40">IF(AND(H100&lt;10000000,H100&gt;5000000),H100*10%-250000,IF(AND(H100&lt;18000000,H100&gt;10000000),H100*15%-750000,IF(AND(H100&lt;32000000,H100&gt;18000000),H100*20%-1650000,IF(AND(H100&lt;52000000,H100&gt;32000000),H100*25%-3250000,IF(AND(H100&lt;80000000,H100&gt;52000000),H100*30%-5850000,IF(H100&gt;80000000,H100*35%-9850000,H100*5%))))))</f>
        <v>596843.75</v>
      </c>
      <c r="J100" s="266">
        <f>C100+D100+E100-F100-I100</f>
        <v>24071593.75</v>
      </c>
      <c r="K100" s="275"/>
      <c r="L100" s="275"/>
    </row>
    <row r="101" spans="1:12">
      <c r="B101" s="260" t="s">
        <v>244</v>
      </c>
      <c r="C101" s="261">
        <f>C100+(C100*7%)</f>
        <v>29491875</v>
      </c>
      <c r="D101" s="262"/>
      <c r="E101" s="262">
        <v>0</v>
      </c>
      <c r="F101" s="263">
        <f>C101*10.5%</f>
        <v>3096646.875</v>
      </c>
      <c r="G101" s="263">
        <f>C101+D101+E101-F101</f>
        <v>26395228.125</v>
      </c>
      <c r="H101" s="264">
        <f t="shared" ref="H101:H102" si="41">IF((C101+D101+E101-F101-16200000)&lt;0,0,C101+D101+E101-F101-16200000)</f>
        <v>10195228.125</v>
      </c>
      <c r="I101" s="265">
        <f t="shared" si="40"/>
        <v>779284.21875</v>
      </c>
      <c r="J101" s="266">
        <f>C101+D101+E101-F101-I101</f>
        <v>25615943.90625</v>
      </c>
      <c r="K101" s="275"/>
      <c r="L101" s="275"/>
    </row>
    <row r="102" spans="1:12">
      <c r="B102" s="260" t="s">
        <v>252</v>
      </c>
      <c r="C102" s="261">
        <f>C100+(C100*7%)</f>
        <v>29491875</v>
      </c>
      <c r="D102" s="262"/>
      <c r="E102" s="262">
        <v>0</v>
      </c>
      <c r="F102" s="263">
        <f>C102*10.5%</f>
        <v>3096646.875</v>
      </c>
      <c r="G102" s="263">
        <f>C102+D102+E102-F102</f>
        <v>26395228.125</v>
      </c>
      <c r="H102" s="264">
        <f t="shared" si="41"/>
        <v>10195228.125</v>
      </c>
      <c r="I102" s="265">
        <f t="shared" si="40"/>
        <v>779284.21875</v>
      </c>
      <c r="J102" s="268">
        <f>C102+D102+E102-F102-I102</f>
        <v>25615943.90625</v>
      </c>
      <c r="K102" s="275"/>
      <c r="L102" s="275"/>
    </row>
    <row r="103" spans="1:12" ht="10.199999999999999" customHeight="1"/>
    <row r="104" spans="1:12" s="254" customFormat="1" ht="19.2">
      <c r="A104" s="278"/>
      <c r="B104" s="249" t="s">
        <v>235</v>
      </c>
      <c r="C104" s="250" t="s">
        <v>236</v>
      </c>
      <c r="D104" s="251" t="s">
        <v>237</v>
      </c>
      <c r="E104" s="251" t="s">
        <v>237</v>
      </c>
      <c r="F104" s="252" t="s">
        <v>238</v>
      </c>
      <c r="G104" s="249" t="s">
        <v>239</v>
      </c>
      <c r="H104" s="253" t="s">
        <v>240</v>
      </c>
      <c r="I104" s="252" t="s">
        <v>83</v>
      </c>
      <c r="J104" s="249" t="s">
        <v>241</v>
      </c>
      <c r="K104" s="282"/>
      <c r="L104" s="277"/>
    </row>
    <row r="105" spans="1:12">
      <c r="A105" s="278">
        <v>18</v>
      </c>
      <c r="B105" s="255" t="s">
        <v>270</v>
      </c>
      <c r="C105" s="256">
        <v>1</v>
      </c>
      <c r="D105" s="257">
        <v>2</v>
      </c>
      <c r="E105" s="257">
        <v>3</v>
      </c>
      <c r="F105" s="257">
        <v>4</v>
      </c>
      <c r="G105" s="257">
        <v>5</v>
      </c>
      <c r="H105" s="258">
        <v>6</v>
      </c>
      <c r="I105" s="258">
        <v>7</v>
      </c>
      <c r="J105" s="259" t="s">
        <v>242</v>
      </c>
      <c r="K105" s="283"/>
      <c r="L105" s="274"/>
    </row>
    <row r="106" spans="1:12">
      <c r="B106" s="260" t="s">
        <v>243</v>
      </c>
      <c r="C106" s="261">
        <v>13230000</v>
      </c>
      <c r="D106" s="262"/>
      <c r="E106" s="262">
        <v>0</v>
      </c>
      <c r="F106" s="263">
        <f>C106*10.5%</f>
        <v>1389150</v>
      </c>
      <c r="G106" s="263">
        <f>C106+D106+E106-F106</f>
        <v>11840850</v>
      </c>
      <c r="H106" s="264">
        <f t="shared" ref="H106:H108" si="42">IF((C106+D106+E106-F106-9000000)&lt;0,0,C106+D106+E106-F106-9000000)</f>
        <v>2840850</v>
      </c>
      <c r="I106" s="265">
        <f t="shared" ref="I106:I108" si="43">IF(AND(H106&lt;10000000,H106&gt;5000000),H106*10%-250000,IF(AND(H106&lt;18000000,H106&gt;10000000),H106*15%-750000,IF(AND(H106&lt;32000000,H106&gt;18000000),H106*20%-1650000,IF(AND(H106&lt;52000000,H106&gt;32000000),H106*25%-3250000,IF(AND(H106&lt;80000000,H106&gt;52000000),H106*30%-5850000,IF(H106&gt;80000000,H106*35%-9850000,H106*5%))))))</f>
        <v>142042.5</v>
      </c>
      <c r="J106" s="266">
        <f>C106+D106+E106-F106-I106</f>
        <v>11698807.5</v>
      </c>
      <c r="K106" s="275"/>
      <c r="L106" s="275"/>
    </row>
    <row r="107" spans="1:12">
      <c r="B107" s="260" t="s">
        <v>244</v>
      </c>
      <c r="C107" s="261">
        <f>C106+(C106*7%)</f>
        <v>14156100</v>
      </c>
      <c r="D107" s="262"/>
      <c r="E107" s="262">
        <v>0</v>
      </c>
      <c r="F107" s="263">
        <f>C107*10.5%</f>
        <v>1486390.5</v>
      </c>
      <c r="G107" s="263">
        <f>C107+D107+E107-F107</f>
        <v>12669709.5</v>
      </c>
      <c r="H107" s="264">
        <f t="shared" si="42"/>
        <v>3669709.5</v>
      </c>
      <c r="I107" s="265">
        <f t="shared" si="43"/>
        <v>183485.47500000001</v>
      </c>
      <c r="J107" s="266">
        <f>C107+D107+E107-F107-I107</f>
        <v>12486224.025</v>
      </c>
      <c r="K107" s="275"/>
      <c r="L107" s="275"/>
    </row>
    <row r="108" spans="1:12">
      <c r="B108" s="260" t="s">
        <v>252</v>
      </c>
      <c r="C108" s="261">
        <f>C106+(C106*7%)</f>
        <v>14156100</v>
      </c>
      <c r="D108" s="262"/>
      <c r="E108" s="262">
        <v>0</v>
      </c>
      <c r="F108" s="263">
        <f>C108*10.5%</f>
        <v>1486390.5</v>
      </c>
      <c r="G108" s="263">
        <f>C108+D108+E108-F108</f>
        <v>12669709.5</v>
      </c>
      <c r="H108" s="264">
        <f t="shared" si="42"/>
        <v>3669709.5</v>
      </c>
      <c r="I108" s="265">
        <f t="shared" si="43"/>
        <v>183485.47500000001</v>
      </c>
      <c r="J108" s="268">
        <f>C108+D108+E108-F108-I108</f>
        <v>12486224.025</v>
      </c>
      <c r="K108" s="275"/>
      <c r="L108" s="275"/>
    </row>
    <row r="109" spans="1:12" ht="10.199999999999999" customHeight="1"/>
    <row r="110" spans="1:12" s="254" customFormat="1" ht="19.2">
      <c r="A110" s="278"/>
      <c r="B110" s="249" t="s">
        <v>235</v>
      </c>
      <c r="C110" s="250" t="s">
        <v>236</v>
      </c>
      <c r="D110" s="251" t="s">
        <v>237</v>
      </c>
      <c r="E110" s="251" t="s">
        <v>237</v>
      </c>
      <c r="F110" s="252" t="s">
        <v>238</v>
      </c>
      <c r="G110" s="249" t="s">
        <v>239</v>
      </c>
      <c r="H110" s="253" t="s">
        <v>240</v>
      </c>
      <c r="I110" s="252" t="s">
        <v>83</v>
      </c>
      <c r="J110" s="249" t="s">
        <v>241</v>
      </c>
      <c r="K110" s="282"/>
      <c r="L110" s="277"/>
    </row>
    <row r="111" spans="1:12">
      <c r="A111" s="278">
        <v>19</v>
      </c>
      <c r="B111" s="255" t="s">
        <v>271</v>
      </c>
      <c r="C111" s="256">
        <v>1</v>
      </c>
      <c r="D111" s="257">
        <v>2</v>
      </c>
      <c r="E111" s="257">
        <v>3</v>
      </c>
      <c r="F111" s="257">
        <v>4</v>
      </c>
      <c r="G111" s="257">
        <v>5</v>
      </c>
      <c r="H111" s="258">
        <v>6</v>
      </c>
      <c r="I111" s="258">
        <v>7</v>
      </c>
      <c r="J111" s="259" t="s">
        <v>242</v>
      </c>
      <c r="K111" s="283"/>
      <c r="L111" s="274"/>
    </row>
    <row r="112" spans="1:12">
      <c r="B112" s="260" t="s">
        <v>243</v>
      </c>
      <c r="C112" s="261">
        <v>5500000</v>
      </c>
      <c r="D112" s="262">
        <v>200000</v>
      </c>
      <c r="E112" s="262">
        <v>0</v>
      </c>
      <c r="F112" s="263">
        <f>C112*10.5%</f>
        <v>577500</v>
      </c>
      <c r="G112" s="263">
        <f>C112+D112+E112-F112</f>
        <v>5122500</v>
      </c>
      <c r="H112" s="264">
        <f t="shared" ref="H112:H114" si="44">IF((C112+D112+E112-F112-9000000)&lt;0,0,C112+D112+E112-F112-9000000)</f>
        <v>0</v>
      </c>
      <c r="I112" s="265">
        <f t="shared" ref="I112:I114" si="45">IF(AND(H112&lt;10000000,H112&gt;5000000),H112*10%-250000,IF(AND(H112&lt;18000000,H112&gt;10000000),H112*15%-750000,IF(AND(H112&lt;32000000,H112&gt;18000000),H112*20%-1650000,IF(AND(H112&lt;52000000,H112&gt;32000000),H112*25%-3250000,IF(AND(H112&lt;80000000,H112&gt;52000000),H112*30%-5850000,IF(H112&gt;80000000,H112*35%-9850000,H112*5%))))))</f>
        <v>0</v>
      </c>
      <c r="J112" s="266">
        <f>C112+D112+E112-F112-I112</f>
        <v>5122500</v>
      </c>
      <c r="K112" s="275"/>
      <c r="L112" s="275"/>
    </row>
    <row r="113" spans="2:12">
      <c r="B113" s="260" t="s">
        <v>244</v>
      </c>
      <c r="C113" s="261">
        <f>C112+(C112*7%)</f>
        <v>5885000</v>
      </c>
      <c r="D113" s="262">
        <v>200000</v>
      </c>
      <c r="E113" s="262">
        <v>0</v>
      </c>
      <c r="F113" s="263">
        <f>C113*10.5%</f>
        <v>617925</v>
      </c>
      <c r="G113" s="263">
        <f>C113+D113+E113-F113</f>
        <v>5467075</v>
      </c>
      <c r="H113" s="264">
        <f t="shared" si="44"/>
        <v>0</v>
      </c>
      <c r="I113" s="265">
        <f t="shared" si="45"/>
        <v>0</v>
      </c>
      <c r="J113" s="266">
        <f>C113+D113+E113-F113-I113</f>
        <v>5467075</v>
      </c>
      <c r="K113" s="275"/>
      <c r="L113" s="275"/>
    </row>
    <row r="114" spans="2:12">
      <c r="B114" s="260" t="s">
        <v>252</v>
      </c>
      <c r="C114" s="261">
        <f>C112+(C112*7%)</f>
        <v>5885000</v>
      </c>
      <c r="D114" s="262">
        <v>200000</v>
      </c>
      <c r="E114" s="262">
        <v>0</v>
      </c>
      <c r="F114" s="263">
        <f>C114*10.5%</f>
        <v>617925</v>
      </c>
      <c r="G114" s="263">
        <f>C114+D114+E114-F114</f>
        <v>5467075</v>
      </c>
      <c r="H114" s="264">
        <f t="shared" si="44"/>
        <v>0</v>
      </c>
      <c r="I114" s="265">
        <f t="shared" si="45"/>
        <v>0</v>
      </c>
      <c r="J114" s="268">
        <f>C114+D114+E114-F114-I114</f>
        <v>5467075</v>
      </c>
      <c r="K114" s="275"/>
      <c r="L114" s="275"/>
    </row>
  </sheetData>
  <pageMargins left="0" right="0" top="0.1" bottom="0.1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6"/>
  <sheetViews>
    <sheetView workbookViewId="0">
      <selection activeCell="F2" sqref="F2"/>
    </sheetView>
  </sheetViews>
  <sheetFormatPr defaultRowHeight="14.4"/>
  <cols>
    <col min="1" max="1" width="12.6640625" bestFit="1" customWidth="1"/>
    <col min="4" max="4" width="13.33203125" bestFit="1" customWidth="1"/>
    <col min="5" max="5" width="14.33203125" customWidth="1"/>
  </cols>
  <sheetData>
    <row r="1" spans="1:5">
      <c r="A1" s="298"/>
      <c r="B1" s="298" t="s">
        <v>310</v>
      </c>
      <c r="C1" s="298" t="s">
        <v>310</v>
      </c>
      <c r="D1" s="298" t="s">
        <v>311</v>
      </c>
      <c r="E1" s="298" t="s">
        <v>312</v>
      </c>
    </row>
    <row r="2" spans="1:5">
      <c r="A2" s="298"/>
      <c r="B2" s="298" t="s">
        <v>313</v>
      </c>
      <c r="C2" s="298" t="s">
        <v>314</v>
      </c>
      <c r="D2" s="298"/>
      <c r="E2" s="298"/>
    </row>
    <row r="3" spans="1:5">
      <c r="A3" s="298" t="s">
        <v>307</v>
      </c>
      <c r="B3" s="300">
        <v>0.17499999999999999</v>
      </c>
      <c r="C3" s="300">
        <v>0.08</v>
      </c>
      <c r="D3" s="299">
        <f>4420000*(1+7%)</f>
        <v>4729400</v>
      </c>
      <c r="E3" s="299">
        <f>20*1490000</f>
        <v>29800000</v>
      </c>
    </row>
    <row r="4" spans="1:5">
      <c r="A4" s="298" t="s">
        <v>308</v>
      </c>
      <c r="B4" s="300">
        <v>0.03</v>
      </c>
      <c r="C4" s="300">
        <v>1.4999999999999999E-2</v>
      </c>
      <c r="D4" s="299">
        <f t="shared" ref="D4:D5" si="0">4420000*(1+7%)</f>
        <v>4729400</v>
      </c>
      <c r="E4" s="299">
        <f t="shared" ref="E4" si="1">20*1490000</f>
        <v>29800000</v>
      </c>
    </row>
    <row r="5" spans="1:5">
      <c r="A5" s="298" t="s">
        <v>309</v>
      </c>
      <c r="B5" s="300">
        <v>0.01</v>
      </c>
      <c r="C5" s="300">
        <v>0.01</v>
      </c>
      <c r="D5" s="299">
        <f t="shared" si="0"/>
        <v>4729400</v>
      </c>
      <c r="E5" s="299">
        <f>20*D5</f>
        <v>94588000</v>
      </c>
    </row>
    <row r="6" spans="1:5">
      <c r="A6" s="298" t="s">
        <v>315</v>
      </c>
      <c r="B6" s="300">
        <v>0.02</v>
      </c>
      <c r="C6" s="300"/>
      <c r="D6" s="299"/>
      <c r="E6" s="29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Receipt</vt:lpstr>
      <vt:lpstr>APR</vt:lpstr>
      <vt:lpstr>MAR</vt:lpstr>
      <vt:lpstr>FEB</vt:lpstr>
      <vt:lpstr>JAN</vt:lpstr>
      <vt:lpstr>DEC</vt:lpstr>
      <vt:lpstr>NOV</vt:lpstr>
      <vt:lpstr>Leave</vt:lpstr>
      <vt:lpstr>19T04</vt:lpstr>
      <vt:lpstr>Assu</vt:lpstr>
      <vt:lpstr>Receipt!Print_Area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Viet Ha</dc:creator>
  <cp:lastModifiedBy>Admin</cp:lastModifiedBy>
  <cp:lastPrinted>2021-03-30T14:27:03Z</cp:lastPrinted>
  <dcterms:created xsi:type="dcterms:W3CDTF">2011-01-27T04:47:54Z</dcterms:created>
  <dcterms:modified xsi:type="dcterms:W3CDTF">2021-04-28T02:10:31Z</dcterms:modified>
</cp:coreProperties>
</file>